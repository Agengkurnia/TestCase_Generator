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E2E Test Cases &amp; Evid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B5E20"/>
      <sz val="15"/>
    </font>
    <font>
      <name val="Calibri"/>
      <i val="1"/>
      <color rgb="00374151"/>
      <sz val="10"/>
    </font>
    <font>
      <name val="Calibri"/>
      <b val="1"/>
      <color rgb="001F2937"/>
      <sz val="10"/>
    </font>
    <font>
      <name val="Calibri"/>
      <color rgb="00111827"/>
      <sz val="10"/>
    </font>
    <font>
      <name val="Calibri"/>
      <b val="1"/>
      <color rgb="00FFFFFF"/>
      <sz val="10"/>
    </font>
    <font>
      <name val="Calibri"/>
      <b val="1"/>
      <color rgb="00065F46"/>
      <sz val="9"/>
    </font>
    <font>
      <name val="Calibri"/>
      <b val="1"/>
      <color rgb="001E40AF"/>
      <sz val="9"/>
      <u val="single"/>
    </font>
    <font>
      <name val="Calibri"/>
      <color rgb="00111827"/>
      <sz val="9"/>
    </font>
    <font>
      <name val="Calibri"/>
      <b val="1"/>
      <color rgb="00991B1B"/>
      <sz val="9"/>
    </font>
  </fonts>
  <fills count="7">
    <fill>
      <patternFill/>
    </fill>
    <fill>
      <patternFill patternType="gray125"/>
    </fill>
    <fill>
      <patternFill patternType="solid">
        <fgColor rgb="00F0FDF4"/>
        <bgColor rgb="00F0FDF4"/>
      </patternFill>
    </fill>
    <fill>
      <patternFill patternType="solid">
        <fgColor rgb="001E7D37"/>
        <bgColor rgb="001E7D37"/>
      </patternFill>
    </fill>
    <fill>
      <patternFill patternType="solid">
        <fgColor rgb="00D1FAE5"/>
        <bgColor rgb="00D1FAE5"/>
      </patternFill>
    </fill>
    <fill>
      <patternFill patternType="solid">
        <fgColor rgb="00F9FAFB"/>
        <bgColor rgb="00F9FAFB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left" vertical="top"/>
    </xf>
    <xf numFmtId="0" fontId="8" fillId="5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top"/>
    </xf>
    <xf numFmtId="0" fontId="7" fillId="5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center" vertical="top"/>
    </xf>
    <xf numFmtId="0" fontId="9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evidence_2026_09_30_17-07-55/01_MKPP_Dashboard_Initial.png" TargetMode="External" Id="rId1"/><Relationship Type="http://schemas.openxmlformats.org/officeDocument/2006/relationships/hyperlink" Target="evidence_2026_09_30_17-07-55/02_MKPP_LOV_Group_Datatable.png" TargetMode="External" Id="rId2"/><Relationship Type="http://schemas.openxmlformats.org/officeDocument/2006/relationships/hyperlink" Target="evidence_2026_09_30_17-07-55/03_MKPP_LOV_Subdist_BDO_Datatable.png" TargetMode="External" Id="rId3"/><Relationship Type="http://schemas.openxmlformats.org/officeDocument/2006/relationships/hyperlink" Target="evidence_2026_09_30_17-07-55/04_MKPP_SKP_Modal_BDO_3NestedRows.png" TargetMode="External" Id="rId4"/><Relationship Type="http://schemas.openxmlformats.org/officeDocument/2006/relationships/hyperlink" Target="evidence_2026_09_30_17-07-55/05_MKPP_LOV_Subdist_JKT_Datatable.png" TargetMode="External" Id="rId5"/><Relationship Type="http://schemas.openxmlformats.org/officeDocument/2006/relationships/hyperlink" Target="evidence_2026_09_30_17-07-55/06_MKPP_SKP_Modal_JKT_3NestedRows.png" TargetMode="External" Id="rId6"/><Relationship Type="http://schemas.openxmlformats.org/officeDocument/2006/relationships/hyperlink" Target="evidence_2026_09_30_17-07-55/07_MKPP_Full_Form_Filled.png" TargetMode="External" Id="rId7"/><Relationship Type="http://schemas.openxmlformats.org/officeDocument/2006/relationships/hyperlink" Target="evidence_2026_09_30_17-07-55/08_MKPP_Submit_Confirmation.png" TargetMode="External" Id="rId8"/><Relationship Type="http://schemas.openxmlformats.org/officeDocument/2006/relationships/hyperlink" Target="evidence_2026_09_30_17-07-55/Error_E2E.png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1" workbookViewId="0">
      <selection activeCell="A1" sqref="A1"/>
    </sheetView>
  </sheetViews>
  <sheetFormatPr baseColWidth="8" defaultRowHeight="15"/>
  <cols>
    <col width="38" customWidth="1" min="1" max="1"/>
    <col width="95" customWidth="1" min="2" max="2"/>
  </cols>
  <sheetData>
    <row r="1">
      <c r="A1" s="1" t="inlineStr">
        <is>
          <t>LAPORAN PENGUJIAN END-TO-END (E2E) DEVELOPMENT FUND (DF)</t>
        </is>
      </c>
    </row>
    <row r="2">
      <c r="A2" s="2" t="inlineStr">
        <is>
          <t>Siklus Lengkap: Pengajuan MKPP Multi-Outlet -&gt; Approval KDS -&gt; Pengajuan Klaim PRM -&gt; Verifikasi ABM -&gt; Final Approve</t>
        </is>
      </c>
    </row>
    <row r="4">
      <c r="A4" s="3" t="inlineStr">
        <is>
          <t>Tanggal Eksekusi</t>
        </is>
      </c>
      <c r="B4" s="4" t="inlineStr">
        <is>
          <t>30/09/2026</t>
        </is>
      </c>
    </row>
    <row r="5">
      <c r="A5" s="3" t="inlineStr">
        <is>
          <t>Lead QA Tester</t>
        </is>
      </c>
      <c r="B5" s="4" t="inlineStr">
        <is>
          <t>Ageng</t>
        </is>
      </c>
    </row>
    <row r="6">
      <c r="A6" s="3" t="inlineStr">
        <is>
          <t>Lingkungan Uji (Environment)</t>
        </is>
      </c>
      <c r="B6" s="4" t="inlineStr">
        <is>
          <t>Development (KICAO KDS Dev, PRM Dev, MAVEN Dev)</t>
        </is>
      </c>
    </row>
    <row r="7">
      <c r="A7" s="3" t="inlineStr">
        <is>
          <t>Nomor Dokumen MKPP DF</t>
        </is>
      </c>
      <c r="B7" s="4" t="inlineStr">
        <is>
          <t>-</t>
        </is>
      </c>
    </row>
    <row r="8">
      <c r="A8" s="3" t="inlineStr">
        <is>
          <t>Total Nilai MKPP DF</t>
        </is>
      </c>
      <c r="B8" s="4" t="inlineStr">
        <is>
          <t>Rp 500.000 (Bandung Selatan Rp 250.000 + Jakarta Selatan Rp 250.000)</t>
        </is>
      </c>
    </row>
    <row r="9">
      <c r="A9" s="3" t="inlineStr">
        <is>
          <t>Total Activity &amp; SKP</t>
        </is>
      </c>
      <c r="B9" s="4" t="inlineStr">
        <is>
          <t>2 Aktivitas Promosi | 6 SKP (masing-masing 3 SKP + PDF Attachment)</t>
        </is>
      </c>
    </row>
    <row r="10">
      <c r="A10" s="3" t="inlineStr">
        <is>
          <t>Periode Program &amp; Klaim</t>
        </is>
      </c>
      <c r="B10" s="4" t="inlineStr">
        <is>
          <t>30/09/2026 s/d 31/12/2026 (Standar Periode Tanggal Berjalan)</t>
        </is>
      </c>
    </row>
    <row r="11">
      <c r="A11" s="3" t="inlineStr">
        <is>
          <t>Dokumen Klaim Bandung Selatan (050311)</t>
        </is>
      </c>
      <c r="B11" s="4" t="inlineStr">
        <is>
          <t>-</t>
        </is>
      </c>
    </row>
    <row r="12">
      <c r="A12" s="3" t="inlineStr">
        <is>
          <t>Dokumen Klaim Jakarta Selatan (040310)</t>
        </is>
      </c>
      <c r="B12" s="4" t="inlineStr">
        <is>
          <t>-</t>
        </is>
      </c>
    </row>
    <row r="13">
      <c r="A13" s="3" t="inlineStr">
        <is>
          <t>Jumlah Skenario Detail</t>
        </is>
      </c>
      <c r="B13" s="4" t="inlineStr">
        <is>
          <t>9 Skenario Lengkap Termasuk LOV Datatable</t>
        </is>
      </c>
    </row>
    <row r="14">
      <c r="A14" s="3" t="inlineStr">
        <is>
          <t>Tingkat Kelulusan (Pass Rate)</t>
        </is>
      </c>
      <c r="B14" s="4" t="inlineStr">
        <is>
          <t>8 Pass / 1 Fail dari 9 skenario</t>
        </is>
      </c>
    </row>
    <row r="15">
      <c r="A15" s="3" t="inlineStr">
        <is>
          <t>Stamp Laporan</t>
        </is>
      </c>
      <c r="B15" s="4" t="inlineStr">
        <is>
          <t>2026_09_30_17-07-55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26" customWidth="1" min="4" max="4"/>
    <col width="10" customWidth="1" min="5" max="5"/>
    <col width="35" customWidth="1" min="6" max="6"/>
    <col width="28" customWidth="1" min="7" max="7"/>
    <col width="38" customWidth="1" min="8" max="8"/>
    <col width="32" customWidth="1" min="9" max="9"/>
    <col width="10" customWidth="1" min="10" max="10"/>
    <col width="12" customWidth="1" min="11" max="11"/>
    <col width="35" customWidth="1" min="12" max="12"/>
    <col width="18" customWidth="1" min="13" max="13"/>
    <col width="12" customWidth="1" min="14" max="14"/>
    <col width="14" customWidth="1" min="15" max="15"/>
  </cols>
  <sheetData>
    <row r="1" ht="28" customHeight="1">
      <c r="A1" s="5" t="inlineStr">
        <is>
          <t>No.</t>
        </is>
      </c>
      <c r="B1" s="5" t="inlineStr">
        <is>
          <t>Scenario ID</t>
        </is>
      </c>
      <c r="C1" s="5" t="inlineStr">
        <is>
          <t>Modul / Portal</t>
        </is>
      </c>
      <c r="D1" s="5" t="inlineStr">
        <is>
          <t>Field / Fitur Skenario</t>
        </is>
      </c>
      <c r="E1" s="5" t="inlineStr">
        <is>
          <t>Tipe Uji</t>
        </is>
      </c>
      <c r="F1" s="5" t="inlineStr">
        <is>
          <t>Deskripsi Skenario</t>
        </is>
      </c>
      <c r="G1" s="5" t="inlineStr">
        <is>
          <t>Prasyarat (Pre-conditions)</t>
        </is>
      </c>
      <c r="H1" s="5" t="inlineStr">
        <is>
          <t>Langkah-Langkah Pengujian</t>
        </is>
      </c>
      <c r="I1" s="5" t="inlineStr">
        <is>
          <t>Expected Result</t>
        </is>
      </c>
      <c r="J1" s="5" t="inlineStr">
        <is>
          <t>Priority</t>
        </is>
      </c>
      <c r="K1" s="5" t="inlineStr">
        <is>
          <t>Status Uji</t>
        </is>
      </c>
      <c r="L1" s="5" t="inlineStr">
        <is>
          <t>Hasil Aktual</t>
        </is>
      </c>
      <c r="M1" s="5" t="inlineStr">
        <is>
          <t>Bukti Pengujian (Evidence)</t>
        </is>
      </c>
      <c r="N1" s="5" t="inlineStr">
        <is>
          <t>QA Tester</t>
        </is>
      </c>
      <c r="O1" s="5" t="inlineStr">
        <is>
          <t>Tanggal Uji</t>
        </is>
      </c>
    </row>
    <row r="2" ht="65" customHeight="1">
      <c r="A2" s="6" t="n">
        <v>1</v>
      </c>
      <c r="B2" s="6" t="inlineStr">
        <is>
          <t>TC-E2E-01</t>
        </is>
      </c>
      <c r="C2" s="7" t="inlineStr">
        <is>
          <t>KICAO KDS</t>
        </is>
      </c>
      <c r="D2" s="7" t="inlineStr">
        <is>
          <t>Navigasi Form MKPP DF</t>
        </is>
      </c>
      <c r="E2" s="6" t="inlineStr">
        <is>
          <t>Positive</t>
        </is>
      </c>
      <c r="F2" s="8" t="inlineStr">
        <is>
          <t>Membuka halaman utama modul Memo MKPP Promosi DF</t>
        </is>
      </c>
      <c r="G2" s="8" t="inlineStr">
        <is>
          <t>User Muslih login dengan hak akses pembuatan MKPP</t>
        </is>
      </c>
      <c r="H2" s="8" t="inlineStr">
        <is>
          <t>1. Login KDS user Muslih
2. Masuk ke menu Transaction -&gt; Memo MKPP Promosi</t>
        </is>
      </c>
      <c r="I2" s="8" t="inlineStr">
        <is>
          <t>Halaman formulir MKPP terbuka dan tombol aksi tersedia</t>
        </is>
      </c>
      <c r="J2" s="6" t="inlineStr">
        <is>
          <t>Medium</t>
        </is>
      </c>
      <c r="K2" s="9" t="inlineStr">
        <is>
          <t>Pass</t>
        </is>
      </c>
      <c r="L2" s="8" t="inlineStr">
        <is>
          <t>Halaman MKPP berhasil dimuat dengan sempurna</t>
        </is>
      </c>
      <c r="M2" s="10">
        <f>HYPERLINK("evidence_2026_09_30_17-07-55\01_MKPP_Dashboard_Initial.png", "Lihat Evidence")</f>
        <v/>
      </c>
      <c r="N2" s="6" t="inlineStr">
        <is>
          <t>Ageng</t>
        </is>
      </c>
      <c r="O2" s="6" t="inlineStr">
        <is>
          <t>30/09/2026</t>
        </is>
      </c>
    </row>
    <row r="3" ht="65" customHeight="1">
      <c r="A3" s="11" t="n">
        <v>2</v>
      </c>
      <c r="B3" s="11" t="inlineStr">
        <is>
          <t>TC-E2E-02</t>
        </is>
      </c>
      <c r="C3" s="12" t="inlineStr">
        <is>
          <t>KICAO KDS</t>
        </is>
      </c>
      <c r="D3" s="12" t="inlineStr">
        <is>
          <t>Modal LOV Group Subdistributor Datatable</t>
        </is>
      </c>
      <c r="E3" s="11" t="inlineStr">
        <is>
          <t>Positive</t>
        </is>
      </c>
      <c r="F3" s="13" t="inlineStr">
        <is>
          <t>Membuka modal LOV Subdist Group dan memilih Group CSA dari datatable</t>
        </is>
      </c>
      <c r="G3" s="13" t="inlineStr">
        <is>
          <t>Tombol #btnLOVGroupName diklik</t>
        </is>
      </c>
      <c r="H3" s="13" t="inlineStr">
        <is>
          <t>1. Buka modal LOV Group Subdist
2. Cari dan pilih Group CSA
3. Klik Select</t>
        </is>
      </c>
      <c r="I3" s="13" t="inlineStr">
        <is>
          <t>Group Subdist CSA terpilih dan terisi pada form</t>
        </is>
      </c>
      <c r="J3" s="11" t="inlineStr">
        <is>
          <t>High</t>
        </is>
      </c>
      <c r="K3" s="9" t="inlineStr">
        <is>
          <t>Pass</t>
        </is>
      </c>
      <c r="L3" s="13" t="inlineStr">
        <is>
          <t>Group CSA berhasil dipilih dari modal LOV</t>
        </is>
      </c>
      <c r="M3" s="14">
        <f>HYPERLINK("evidence_2026_09_30_17-07-55\02_MKPP_LOV_Group_Datatable.png", "Lihat Evidence")</f>
        <v/>
      </c>
      <c r="N3" s="11" t="inlineStr">
        <is>
          <t>Ageng</t>
        </is>
      </c>
      <c r="O3" s="11" t="inlineStr">
        <is>
          <t>30/09/2026</t>
        </is>
      </c>
    </row>
    <row r="4" ht="65" customHeight="1">
      <c r="A4" s="6" t="n">
        <v>3</v>
      </c>
      <c r="B4" s="6" t="inlineStr">
        <is>
          <t>TC-E2E-03</t>
        </is>
      </c>
      <c r="C4" s="7" t="inlineStr">
        <is>
          <t>KICAO KDS</t>
        </is>
      </c>
      <c r="D4" s="7" t="inlineStr">
        <is>
          <t>Modal LOV Subdistributor Datatable - BANDUNG SELATAN</t>
        </is>
      </c>
      <c r="E4" s="6" t="inlineStr">
        <is>
          <t>Positive</t>
        </is>
      </c>
      <c r="F4" s="8" t="inlineStr">
        <is>
          <t>Membuka modal LOV Subdistributor berpaginasi dan memilih BANDUNG SELATAN</t>
        </is>
      </c>
      <c r="G4" s="8" t="inlineStr">
        <is>
          <t>Baris Activity 1 telah ditambahkan</t>
        </is>
      </c>
      <c r="H4" s="8" t="inlineStr">
        <is>
          <t>1. Klik tombol LOV Supplier/Subdist pada baris 1
2. Filter pencarian BANDUNG SELATAN
3. Klik Select pada hasil datatable</t>
        </is>
      </c>
      <c r="I4" s="8" t="inlineStr">
        <is>
          <t>Subdistributor terpilih dan terisi pada baris activity</t>
        </is>
      </c>
      <c r="J4" s="6" t="inlineStr">
        <is>
          <t>High</t>
        </is>
      </c>
      <c r="K4" s="9" t="inlineStr">
        <is>
          <t>Pass</t>
        </is>
      </c>
      <c r="L4" s="8" t="inlineStr">
        <is>
          <t>Subdistributor BANDUNG SELATAN berhasil dipilih dari LOV</t>
        </is>
      </c>
      <c r="M4" s="10">
        <f>HYPERLINK("evidence_2026_09_30_17-07-55\03_MKPP_LOV_Subdist_BDO_Datatable.png", "Lihat Evidence")</f>
        <v/>
      </c>
      <c r="N4" s="6" t="inlineStr">
        <is>
          <t>Ageng</t>
        </is>
      </c>
      <c r="O4" s="6" t="inlineStr">
        <is>
          <t>30/09/2026</t>
        </is>
      </c>
    </row>
    <row r="5" ht="65" customHeight="1">
      <c r="A5" s="11" t="n">
        <v>4</v>
      </c>
      <c r="B5" s="11" t="inlineStr">
        <is>
          <t>TC-E2E-04</t>
        </is>
      </c>
      <c r="C5" s="12" t="inlineStr">
        <is>
          <t>KICAO KDS</t>
        </is>
      </c>
      <c r="D5" s="12" t="inlineStr">
        <is>
          <t>Modal SKP Activity 1 - 3 Nested Rows &amp; Attachment (BANDUNG SELATAN)</t>
        </is>
      </c>
      <c r="E5" s="11" t="inlineStr">
        <is>
          <t>Positive</t>
        </is>
      </c>
      <c r="F5" s="13" t="inlineStr">
        <is>
          <t>Menginput 3 baris rincian SKP dengan alokasi total Rp 250.000 dan lampiran PDF untuk BANDUNG SELATAN</t>
        </is>
      </c>
      <c r="G5" s="13" t="inlineStr">
        <is>
          <t>Modal SKP Activity 1 terbuka</t>
        </is>
      </c>
      <c r="H5" s="13" t="inlineStr">
        <is>
          <t>1. Input baris 1, 2, 3 dengan nomor SKP resmi dan nominal
2. Unggah berkas PDF pada masing-masing baris
3. Verifikasi kalkulasi subtotal</t>
        </is>
      </c>
      <c r="I5" s="13" t="inlineStr">
        <is>
          <t>Ketiga baris SKP terdaftar rapi dengan total Rp 250.000</t>
        </is>
      </c>
      <c r="J5" s="11" t="inlineStr">
        <is>
          <t>High</t>
        </is>
      </c>
      <c r="K5" s="9" t="inlineStr">
        <is>
          <t>Pass</t>
        </is>
      </c>
      <c r="L5" s="13" t="inlineStr">
        <is>
          <t>Modal SKP BANDUNG SELATAN sukses terisi 3 baris SKP + file attachment</t>
        </is>
      </c>
      <c r="M5" s="14">
        <f>HYPERLINK("evidence_2026_09_30_17-07-55\04_MKPP_SKP_Modal_BDO_3NestedRows.png", "Lihat Evidence")</f>
        <v/>
      </c>
      <c r="N5" s="11" t="inlineStr">
        <is>
          <t>Ageng</t>
        </is>
      </c>
      <c r="O5" s="11" t="inlineStr">
        <is>
          <t>30/09/2026</t>
        </is>
      </c>
    </row>
    <row r="6" ht="65" customHeight="1">
      <c r="A6" s="6" t="n">
        <v>5</v>
      </c>
      <c r="B6" s="6" t="inlineStr">
        <is>
          <t>TC-E2E-05</t>
        </is>
      </c>
      <c r="C6" s="7" t="inlineStr">
        <is>
          <t>KICAO KDS</t>
        </is>
      </c>
      <c r="D6" s="7" t="inlineStr">
        <is>
          <t>Modal LOV Subdistributor Datatable - JAKARTA SELATAN</t>
        </is>
      </c>
      <c r="E6" s="6" t="inlineStr">
        <is>
          <t>Positive</t>
        </is>
      </c>
      <c r="F6" s="8" t="inlineStr">
        <is>
          <t>Membuka modal LOV Subdistributor berpaginasi dan memilih JAKARTA SELATAN</t>
        </is>
      </c>
      <c r="G6" s="8" t="inlineStr">
        <is>
          <t>Baris Activity 2 telah ditambahkan</t>
        </is>
      </c>
      <c r="H6" s="8" t="inlineStr">
        <is>
          <t>1. Klik tombol LOV Supplier/Subdist pada baris 2
2. Filter pencarian JAKARTA SELATAN
3. Klik Select pada hasil datatable</t>
        </is>
      </c>
      <c r="I6" s="8" t="inlineStr">
        <is>
          <t>Subdistributor terpilih dan terisi pada baris activity</t>
        </is>
      </c>
      <c r="J6" s="6" t="inlineStr">
        <is>
          <t>High</t>
        </is>
      </c>
      <c r="K6" s="9" t="inlineStr">
        <is>
          <t>Pass</t>
        </is>
      </c>
      <c r="L6" s="8" t="inlineStr">
        <is>
          <t>Subdistributor JAKARTA SELATAN berhasil dipilih dari LOV</t>
        </is>
      </c>
      <c r="M6" s="10">
        <f>HYPERLINK("evidence_2026_09_30_17-07-55\05_MKPP_LOV_Subdist_JKT_Datatable.png", "Lihat Evidence")</f>
        <v/>
      </c>
      <c r="N6" s="6" t="inlineStr">
        <is>
          <t>Ageng</t>
        </is>
      </c>
      <c r="O6" s="6" t="inlineStr">
        <is>
          <t>30/09/2026</t>
        </is>
      </c>
    </row>
    <row r="7" ht="65" customHeight="1">
      <c r="A7" s="11" t="n">
        <v>6</v>
      </c>
      <c r="B7" s="11" t="inlineStr">
        <is>
          <t>TC-E2E-06</t>
        </is>
      </c>
      <c r="C7" s="12" t="inlineStr">
        <is>
          <t>KICAO KDS</t>
        </is>
      </c>
      <c r="D7" s="12" t="inlineStr">
        <is>
          <t>Modal SKP Activity 2 - 3 Nested Rows &amp; Attachment (JAKARTA SELATAN)</t>
        </is>
      </c>
      <c r="E7" s="11" t="inlineStr">
        <is>
          <t>Positive</t>
        </is>
      </c>
      <c r="F7" s="13" t="inlineStr">
        <is>
          <t>Menginput 3 baris rincian SKP dengan alokasi total Rp 250.000 dan lampiran PDF untuk JAKARTA SELATAN</t>
        </is>
      </c>
      <c r="G7" s="13" t="inlineStr">
        <is>
          <t>Modal SKP Activity 2 terbuka</t>
        </is>
      </c>
      <c r="H7" s="13" t="inlineStr">
        <is>
          <t>1. Input baris 1, 2, 3 dengan nomor SKP resmi dan nominal
2. Unggah berkas PDF pada masing-masing baris
3. Verifikasi kalkulasi subtotal</t>
        </is>
      </c>
      <c r="I7" s="13" t="inlineStr">
        <is>
          <t>Ketiga baris SKP terdaftar rapi dengan total Rp 250.000</t>
        </is>
      </c>
      <c r="J7" s="11" t="inlineStr">
        <is>
          <t>High</t>
        </is>
      </c>
      <c r="K7" s="9" t="inlineStr">
        <is>
          <t>Pass</t>
        </is>
      </c>
      <c r="L7" s="13" t="inlineStr">
        <is>
          <t>Modal SKP JAKARTA SELATAN sukses terisi 3 baris SKP + file attachment</t>
        </is>
      </c>
      <c r="M7" s="14">
        <f>HYPERLINK("evidence_2026_09_30_17-07-55\06_MKPP_SKP_Modal_JKT_3NestedRows.png", "Lihat Evidence")</f>
        <v/>
      </c>
      <c r="N7" s="11" t="inlineStr">
        <is>
          <t>Ageng</t>
        </is>
      </c>
      <c r="O7" s="11" t="inlineStr">
        <is>
          <t>30/09/2026</t>
        </is>
      </c>
    </row>
    <row r="8" ht="65" customHeight="1">
      <c r="A8" s="6" t="n">
        <v>7</v>
      </c>
      <c r="B8" s="6" t="inlineStr">
        <is>
          <t>TC-E2E-07</t>
        </is>
      </c>
      <c r="C8" s="7" t="inlineStr">
        <is>
          <t>KICAO KDS</t>
        </is>
      </c>
      <c r="D8" s="7" t="inlineStr">
        <is>
          <t>Pengisian Form Lengkap Dokumen MKPP DF</t>
        </is>
      </c>
      <c r="E8" s="6" t="inlineStr">
        <is>
          <t>Positive</t>
        </is>
      </c>
      <c r="F8" s="8" t="inlineStr">
        <is>
          <t>Memverifikasi seluruh form terisi lengkap: 2 Activity, 6 SKP, total budget Rp 500.000, serta deskripsi dan mekanisme program</t>
        </is>
      </c>
      <c r="G8" s="8" t="inlineStr">
        <is>
          <t>Seluruh activity, SKP, dan deskripsi CKEditor telah diisi</t>
        </is>
      </c>
      <c r="H8" s="8" t="inlineStr">
        <is>
          <t>1. Review seluruh ringkasan tabel Activity dan Total Budget Rp 500.000
2. Pastikan deskripsi program, mekanisme, dan remark terisi informatif</t>
        </is>
      </c>
      <c r="I8" s="8" t="inlineStr">
        <is>
          <t>Formulir MKPP siap disubmit dengan total nilai kalkulasi valid Rp 500.000</t>
        </is>
      </c>
      <c r="J8" s="6" t="inlineStr">
        <is>
          <t>High</t>
        </is>
      </c>
      <c r="K8" s="9" t="inlineStr">
        <is>
          <t>Pass</t>
        </is>
      </c>
      <c r="L8" s="8" t="inlineStr">
        <is>
          <t>Formulir MKPP terisi lengkap dengan total budget terverifikasi Rp 500.000</t>
        </is>
      </c>
      <c r="M8" s="10">
        <f>HYPERLINK("evidence_2026_09_30_17-07-55\07_MKPP_Full_Form_Filled.png", "Lihat Evidence")</f>
        <v/>
      </c>
      <c r="N8" s="6" t="inlineStr">
        <is>
          <t>Ageng</t>
        </is>
      </c>
      <c r="O8" s="6" t="inlineStr">
        <is>
          <t>30/09/2026</t>
        </is>
      </c>
    </row>
    <row r="9" ht="65" customHeight="1">
      <c r="A9" s="11" t="n">
        <v>8</v>
      </c>
      <c r="B9" s="11" t="inlineStr">
        <is>
          <t>TC-E2E-08</t>
        </is>
      </c>
      <c r="C9" s="12" t="inlineStr">
        <is>
          <t>KICAO KDS</t>
        </is>
      </c>
      <c r="D9" s="12" t="inlineStr">
        <is>
          <t>Dialog Konfirmasi Submit MKPP</t>
        </is>
      </c>
      <c r="E9" s="11" t="inlineStr">
        <is>
          <t>Positive</t>
        </is>
      </c>
      <c r="F9" s="13" t="inlineStr">
        <is>
          <t>Memastikan dialog konfirmasi submit muncul sebelum dokumen diproses</t>
        </is>
      </c>
      <c r="G9" s="13" t="inlineStr">
        <is>
          <t>Tombol Submit diklik</t>
        </is>
      </c>
      <c r="H9" s="13" t="inlineStr">
        <is>
          <t>1. Klik tombol Submit (#btnSubmit)
2. Verifikasi modal konfirmasi Bootbox muncul</t>
        </is>
      </c>
      <c r="I9" s="13" t="inlineStr">
        <is>
          <t>Dialog konfirmasi meminta persetujuan user untuk mengirim dokumen ke workflow</t>
        </is>
      </c>
      <c r="J9" s="11" t="inlineStr">
        <is>
          <t>Medium</t>
        </is>
      </c>
      <c r="K9" s="9" t="inlineStr">
        <is>
          <t>Pass</t>
        </is>
      </c>
      <c r="L9" s="13" t="inlineStr">
        <is>
          <t>Dialog konfirmasi submit berhasil muncul dengan opsi Konfirmasi</t>
        </is>
      </c>
      <c r="M9" s="14">
        <f>HYPERLINK("evidence_2026_09_30_17-07-55\08_MKPP_Submit_Confirmation.png", "Lihat Evidence")</f>
        <v/>
      </c>
      <c r="N9" s="11" t="inlineStr">
        <is>
          <t>Ageng</t>
        </is>
      </c>
      <c r="O9" s="11" t="inlineStr">
        <is>
          <t>30/09/2026</t>
        </is>
      </c>
    </row>
    <row r="10" ht="65" customHeight="1">
      <c r="A10" s="6" t="n">
        <v>9</v>
      </c>
      <c r="B10" s="6" t="inlineStr">
        <is>
          <t>TC-E2E-ERR</t>
        </is>
      </c>
      <c r="C10" s="7" t="inlineStr">
        <is>
          <t>E2E</t>
        </is>
      </c>
      <c r="D10" s="7" t="inlineStr">
        <is>
          <t>Alur terhenti</t>
        </is>
      </c>
      <c r="E10" s="6" t="inlineStr">
        <is>
          <t>Positive</t>
        </is>
      </c>
      <c r="F10" s="8" t="inlineStr">
        <is>
          <t>Siklus MKPP sampai klaim selesai tanpa error</t>
        </is>
      </c>
      <c r="G10" s="8" t="inlineStr">
        <is>
          <t>Langkah sebelumnya berhasil</t>
        </is>
      </c>
      <c r="H10" s="8" t="inlineStr">
        <is>
          <t>Lanjutkan langkah berikutnya sampai status klaim APPROVED</t>
        </is>
      </c>
      <c r="I10" s="8" t="inlineStr">
        <is>
          <t>Dokumen MKPP APPROVED dan kedua klaim APPROVED</t>
        </is>
      </c>
      <c r="J10" s="6" t="inlineStr">
        <is>
          <t>High</t>
        </is>
      </c>
      <c r="K10" s="15" t="inlineStr">
        <is>
          <t>Fail</t>
        </is>
      </c>
      <c r="L10" s="8" t="inlineStr">
        <is>
          <t xml:space="preserve">Page.wait_for_selector: Timeout 30000ms exceeded.
Call log:
  - waiting for locator("div.bootbox-alert button[data-bb-handler=ok], .bootbox-alert button.btn-primary, .bootbox.modal.in button[data-bb-handler=ok]") to be visible
</t>
        </is>
      </c>
      <c r="M10" s="10">
        <f>HYPERLINK("evidence_2026_09_30_17-07-55\Error_E2E.png", "Lihat Evidence")</f>
        <v/>
      </c>
      <c r="N10" s="6" t="inlineStr">
        <is>
          <t>Ageng</t>
        </is>
      </c>
      <c r="O10" s="6" t="inlineStr">
        <is>
          <t>30/09/2026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2026-09-30T10:09:38Z</dcterms:created>
  <dcterms:modified xmlns:dcterms="http://purl.org/dc/terms/" xmlns:xsi="http://www.w3.org/2001/XMLSchema-instance" xsi:type="dcterms:W3CDTF">2026-09-30T10:09:38Z</dcterms:modified>
</cp:coreProperties>
</file>