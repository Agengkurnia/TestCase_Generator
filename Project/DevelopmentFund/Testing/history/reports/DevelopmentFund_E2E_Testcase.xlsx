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Source\TestCase_Generator\Project\DevelopmentFund\"/>
    </mc:Choice>
  </mc:AlternateContent>
  <bookViews>
    <workbookView xWindow="0" yWindow="0" windowWidth="23040" windowHeight="9072" activeTab="1"/>
  </bookViews>
  <sheets>
    <sheet name="Executive Summary" sheetId="1" r:id="rId1"/>
    <sheet name="E2E Test Cases &amp; Evidence" sheetId="2" r:id="rId2"/>
  </sheets>
  <calcPr calcId="162913"/>
</workbook>
</file>

<file path=xl/calcChain.xml><?xml version="1.0" encoding="utf-8"?>
<calcChain xmlns="http://schemas.openxmlformats.org/spreadsheetml/2006/main">
  <c r="M44" i="2" l="1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<sst xmlns="http://schemas.openxmlformats.org/spreadsheetml/2006/main" count="598" uniqueCount="302">
  <si>
    <t>LAPORAN PENGUJIAN END-TO-END (E2E) DEVELOPMENT FUND (DF)</t>
  </si>
  <si>
    <t>Siklus Lengkap: Pengajuan MKPP Multi-Outlet -&gt; Approval KDS -&gt; Pengajuan Klaim PRM -&gt; Verifikasi ABM -&gt; Final Approve</t>
  </si>
  <si>
    <t>Tanggal Eksekusi</t>
  </si>
  <si>
    <t>16/09/2026</t>
  </si>
  <si>
    <t>Lead QA Tester</t>
  </si>
  <si>
    <t>Ageng</t>
  </si>
  <si>
    <t>Lingkungan Uji (Environment)</t>
  </si>
  <si>
    <t>Development (KICAO KDS Dev, PRM Dev, MAVEN Dev)</t>
  </si>
  <si>
    <t>Nomor Dokumen MKPP DF</t>
  </si>
  <si>
    <t>26.09/MKPP-MIM/0068.000</t>
  </si>
  <si>
    <t>Total Nilai MKPP DF</t>
  </si>
  <si>
    <t>Rp 500.000 (Bandung Selatan Rp 250.000 + Jakarta Selatan Rp 250.000)</t>
  </si>
  <si>
    <t>Total Activity &amp; SKP</t>
  </si>
  <si>
    <t>2 Aktivitas Promosi | 6 SKP (masing-masing 3 SKP + PDF Attachment)</t>
  </si>
  <si>
    <t>Periode Program &amp; Klaim</t>
  </si>
  <si>
    <t>16/09/2026 s/d 31/12/2026 (Standar Periode Tanggal Berjalan)</t>
  </si>
  <si>
    <t>Dokumen Klaim Bandung Selatan (050311)</t>
  </si>
  <si>
    <t>ID 5277 | No. 26.09/KLAIM-CSA/024 | Status: DRAFT</t>
  </si>
  <si>
    <t>Dokumen Klaim Jakarta Selatan (040310)</t>
  </si>
  <si>
    <t>ID 5278 | No. 26.09/KLAIM-CSA/025 | Status: DRAFT</t>
  </si>
  <si>
    <t>Jumlah Skenario Detail</t>
  </si>
  <si>
    <t>43 Skenario Lengkap Termasuk LOV Datatable</t>
  </si>
  <si>
    <t>Tingkat Kelulusan (Pass Rate)</t>
  </si>
  <si>
    <t>100% PASS (Seluruh Alur Berhasil Tanpa Hambatan)</t>
  </si>
  <si>
    <t>No.</t>
  </si>
  <si>
    <t>Scenario ID</t>
  </si>
  <si>
    <t>Modul / Portal</t>
  </si>
  <si>
    <t>Field / Fitur Skenario</t>
  </si>
  <si>
    <t>Tipe Uji</t>
  </si>
  <si>
    <t>Deskripsi Skenario</t>
  </si>
  <si>
    <t>Prasyarat (Pre-conditions)</t>
  </si>
  <si>
    <t>Langkah-Langkah Pengujian</t>
  </si>
  <si>
    <t>Expected Result</t>
  </si>
  <si>
    <t>Priority</t>
  </si>
  <si>
    <t>Status Uji</t>
  </si>
  <si>
    <t>Hasil Aktual</t>
  </si>
  <si>
    <t>Bukti Pengujian (Evidence)</t>
  </si>
  <si>
    <t>QA Tester</t>
  </si>
  <si>
    <t>Tanggal Uji</t>
  </si>
  <si>
    <t>TC-E2E-01</t>
  </si>
  <si>
    <t>KICAO KDS</t>
  </si>
  <si>
    <t>Navigasi Form MKPP DF</t>
  </si>
  <si>
    <t>Positive</t>
  </si>
  <si>
    <t>Membuka halaman utama modul Memo MKPP Promosi DF</t>
  </si>
  <si>
    <t>User Muslih login dengan hak akses pembuatan MKPP</t>
  </si>
  <si>
    <t>1. Login KDS user Muslih
2. Masuk ke menu Transaction -&gt; Memo MKPP Promosi</t>
  </si>
  <si>
    <t>Halaman formulir MKPP terbuka dan tombol aksi tersedia</t>
  </si>
  <si>
    <t>Medium</t>
  </si>
  <si>
    <t>Pass</t>
  </si>
  <si>
    <t>Halaman MKPP berhasil dimuat dengan sempurna</t>
  </si>
  <si>
    <t>TC-E2E-02</t>
  </si>
  <si>
    <t>Modal LOV Group Subdistributor Datatable</t>
  </si>
  <si>
    <t>Membuka modal LOV Subdist Group dan memilih Group CSA dari datatable</t>
  </si>
  <si>
    <t>Tombol #btnLOVGroupName diklik</t>
  </si>
  <si>
    <t>1. Buka modal LOV Group Subdist
2. Cari dan pilih Group CSA
3. Klik Select</t>
  </si>
  <si>
    <t>Group Subdist CSA terpilih dan terisi pada form</t>
  </si>
  <si>
    <t>High</t>
  </si>
  <si>
    <t>Group CSA berhasil dipilih dari modal LOV</t>
  </si>
  <si>
    <t>TC-E2E-03</t>
  </si>
  <si>
    <t>Modal LOV Subdistributor Datatable - BANDUNG SELATAN</t>
  </si>
  <si>
    <t>Membuka modal LOV Subdistributor berpaginasi dan memilih BANDUNG SELATAN</t>
  </si>
  <si>
    <t>Baris Activity 1 telah ditambahkan</t>
  </si>
  <si>
    <t>1. Klik tombol LOV Supplier/Subdist pada baris 1
2. Filter pencarian BANDUNG SELATAN
3. Klik Select pada hasil datatable</t>
  </si>
  <si>
    <t>Subdistributor terpilih dan terisi pada baris activity</t>
  </si>
  <si>
    <t>Subdistributor BANDUNG SELATAN berhasil dipilih dari LOV</t>
  </si>
  <si>
    <t>TC-E2E-04</t>
  </si>
  <si>
    <t>Modal SKP Activity 1 - 3 Nested Rows &amp; Attachment (BANDUNG SELATAN)</t>
  </si>
  <si>
    <t>Menginput 3 baris rincian SKP dengan alokasi total Rp 250.000 dan lampiran PDF untuk BANDUNG SELATAN</t>
  </si>
  <si>
    <t>Modal SKP Activity 1 terbuka</t>
  </si>
  <si>
    <t>1. Input baris 1, 2, 3 dengan nomor SKP resmi dan nominal
2. Unggah berkas PDF pada masing-masing baris
3. Verifikasi kalkulasi subtotal</t>
  </si>
  <si>
    <t>Ketiga baris SKP terdaftar rapi dengan total Rp 250.000</t>
  </si>
  <si>
    <t>Modal SKP BANDUNG SELATAN sukses terisi 3 baris SKP + file attachment</t>
  </si>
  <si>
    <t>TC-E2E-05</t>
  </si>
  <si>
    <t>Modal LOV Subdistributor Datatable - JAKARTA SELATAN</t>
  </si>
  <si>
    <t>Membuka modal LOV Subdistributor berpaginasi dan memilih JAKARTA SELATAN</t>
  </si>
  <si>
    <t>Baris Activity 2 telah ditambahkan</t>
  </si>
  <si>
    <t>1. Klik tombol LOV Supplier/Subdist pada baris 2
2. Filter pencarian JAKARTA SELATAN
3. Klik Select pada hasil datatable</t>
  </si>
  <si>
    <t>Subdistributor JAKARTA SELATAN berhasil dipilih dari LOV</t>
  </si>
  <si>
    <t>TC-E2E-06</t>
  </si>
  <si>
    <t>Modal SKP Activity 2 - 3 Nested Rows &amp; Attachment (JAKARTA SELATAN)</t>
  </si>
  <si>
    <t>Menginput 3 baris rincian SKP dengan alokasi total Rp 250.000 dan lampiran PDF untuk JAKARTA SELATAN</t>
  </si>
  <si>
    <t>Modal SKP Activity 2 terbuka</t>
  </si>
  <si>
    <t>Modal SKP JAKARTA SELATAN sukses terisi 3 baris SKP + file attachment</t>
  </si>
  <si>
    <t>TC-E2E-07</t>
  </si>
  <si>
    <t>Pengisian Form Lengkap Dokumen MKPP DF</t>
  </si>
  <si>
    <t>Memverifikasi seluruh form terisi lengkap: 2 Activity, 6 SKP, total budget Rp 500.000, serta deskripsi dan mekanisme program</t>
  </si>
  <si>
    <t>Seluruh activity, SKP, dan deskripsi CKEditor telah diisi</t>
  </si>
  <si>
    <t>1. Review seluruh ringkasan tabel Activity dan Total Budget Rp 500.000
2. Pastikan deskripsi program, mekanisme, dan remark terisi informatif</t>
  </si>
  <si>
    <t>Formulir MKPP siap disubmit dengan total nilai kalkulasi valid Rp 500.000</t>
  </si>
  <si>
    <t>Formulir MKPP terisi lengkap dengan total budget terverifikasi Rp 500.000</t>
  </si>
  <si>
    <t>TC-E2E-08</t>
  </si>
  <si>
    <t>Dialog Konfirmasi Submit MKPP</t>
  </si>
  <si>
    <t>Memastikan dialog konfirmasi submit muncul sebelum dokumen diproses</t>
  </si>
  <si>
    <t>Tombol Submit diklik</t>
  </si>
  <si>
    <t>1. Klik tombol Submit (#btnSubmit)
2. Verifikasi modal konfirmasi Bootbox muncul</t>
  </si>
  <si>
    <t>Dialog konfirmasi meminta persetujuan user untuk mengirim dokumen ke workflow</t>
  </si>
  <si>
    <t>Dialog konfirmasi submit berhasil muncul dengan opsi Konfirmasi</t>
  </si>
  <si>
    <t>TC-E2E-09</t>
  </si>
  <si>
    <t>Penerbitan Nomor Dokumen MKPP Resmi</t>
  </si>
  <si>
    <t>Dokumen MKPP berhasil diterbitkan dengan nomor resmi: 26.09/MKPP-MIM/0068.000</t>
  </si>
  <si>
    <t>Submit MKPP telah dikonfirmasi dan diproses server</t>
  </si>
  <si>
    <t>1. Membaca nomor dokumen pada field #txtDocNo (26.09/MKPP-MIM/0068.000)
2. Memverifikasi status flow inisial</t>
  </si>
  <si>
    <t>Nomor dokumen terbit otomatis dan status masuk antrean workflow approval Tier 1</t>
  </si>
  <si>
    <t>Dokumen MKPP resmi 26.09/MKPP-MIM/0068.000 berhasil terbit</t>
  </si>
  <si>
    <t>TC-E2E-10</t>
  </si>
  <si>
    <t>KICAO KDS (Workflow)</t>
  </si>
  <si>
    <t>Inbox Approval Tier 1 - Datatable Review</t>
  </si>
  <si>
    <t>Membuka inbox approval Tier 1 (PATRICK.YOHANNES) dan memverifikasi dokumen 26.09/MKPP-MIM/0068.000 masuk antrean</t>
  </si>
  <si>
    <t>Dokumen MKPP telah disubmit oleh Muslih</t>
  </si>
  <si>
    <t>1. Login KDS user PATRICK.YOHANNES
2. Buka Transaksi -&gt; Approval Dokumen
3. Verifikasi dokumen MKPP muncul di grid datatable</t>
  </si>
  <si>
    <t>Dokumen MKPP tampil pada tabel approval inbox Tier 1</t>
  </si>
  <si>
    <t>Dokumen 26.09/MKPP-MIM/0068.000 berhasil ditemukan dalam antrean approval Tier 1</t>
  </si>
  <si>
    <t>TC-E2E-11</t>
  </si>
  <si>
    <t>Review Rincian Approval Tier 1</t>
  </si>
  <si>
    <t>Menampilkan rincian dokumen MKPP, alokasi budget outlet, dan berkas lampiran pendukung</t>
  </si>
  <si>
    <t>Form persetujuan terbuka</t>
  </si>
  <si>
    <t>1. Review ringkasan dokumen dan budget
2. Verifikasi status kesiapan dokumen</t>
  </si>
  <si>
    <t>Seluruh komponen dokumen tampil lengkap untuk dievaluasi oleh Brand / ABM</t>
  </si>
  <si>
    <t>Rincian dokumen MKPP tampil lengkap untuk persetujuan Tier 1</t>
  </si>
  <si>
    <t>TC-E2E-12</t>
  </si>
  <si>
    <t>Checklist Persetujuan Tier 1</t>
  </si>
  <si>
    <t>Memberi centang persetujuan pada seluruh checkbox item dokumen MKPP</t>
  </si>
  <si>
    <t>Form approval telah dimuat</t>
  </si>
  <si>
    <t>1. Centang opsi Approve All (#chkApproveAll)
2. Verifikasi semua checkbox item aktif</t>
  </si>
  <si>
    <t>Semua indikator persetujuan aktif dan siap disimpan</t>
  </si>
  <si>
    <t>Semua checkbox persetujuan berhasil ditandai aktif</t>
  </si>
  <si>
    <t>TC-E2E-13</t>
  </si>
  <si>
    <t>Eksekusi Persetujuan Approval Tier 1 Sukses</t>
  </si>
  <si>
    <t>Menyimpan hasil persetujuan Tier 1 dan meneruskan dokumen ke antrean Tier 2</t>
  </si>
  <si>
    <t>Checkbox persetujuan telah ditandai</t>
  </si>
  <si>
    <t>1. Klik tombol Simpan (#btnSave)
2. Konfirmasi dialog persetujuan
3. Klik OK pada alert sukses</t>
  </si>
  <si>
    <t>Persetujuan Tier 1 tersimpan sukses dan dokumen berpindah ke Tier 2</t>
  </si>
  <si>
    <t>Approval Tier 1 oleh PATRICK.YOHANNES sukses diproses untuk 26.09/MKPP-MIM/0068.000</t>
  </si>
  <si>
    <t>TC-E2E-14</t>
  </si>
  <si>
    <t>Inbox Approval Tier 2 - Datatable Review</t>
  </si>
  <si>
    <t>Membuka inbox approval Tier 2 (HENDRAWAN.KHO) dan memverifikasi dokumen 26.09/MKPP-MIM/0068.000 siap di-approve</t>
  </si>
  <si>
    <t>Dokumen telah disetujui Tier 1</t>
  </si>
  <si>
    <t>1. Login KDS user HENDRAWAN.KHO
2. Buka Transaksi -&gt; Approval Dokumen
3. Verifikasi dokumen MKPP muncul di antrean Tier 2</t>
  </si>
  <si>
    <t>Dokumen MKPP tampil pada tabel approval inbox Tier 2</t>
  </si>
  <si>
    <t>Dokumen 26.09/MKPP-MIM/0068.000 berhasil ditemukan dalam antrean approval Tier 2</t>
  </si>
  <si>
    <t>TC-E2E-15</t>
  </si>
  <si>
    <t>Checklist Persetujuan Final Tier 2</t>
  </si>
  <si>
    <t>Memberi centang persetujuan final oleh Commercial Finance Head (Tier 2)</t>
  </si>
  <si>
    <t>Form persetujuan Tier 2 terbuka</t>
  </si>
  <si>
    <t>1. Centang opsi Approve All (#chkApproveAll)
2. Pastikan seluruh item disetujui</t>
  </si>
  <si>
    <t>Semua indikator persetujuan aktif dan siap dieksekusi</t>
  </si>
  <si>
    <t>Checkbox persetujuan final Tier 2 berhasil ditandai aktif</t>
  </si>
  <si>
    <t>TC-E2E-16</t>
  </si>
  <si>
    <t>Eksekusi Persetujuan Final Tier 2 Sukses</t>
  </si>
  <si>
    <t>Menyimpan persetujuan Tier 2 sehingga status dokumen resmi menjadi APPROVED penuh</t>
  </si>
  <si>
    <t>Persetujuan Tier 2 telah dicentang</t>
  </si>
  <si>
    <t>1. Klik tombol Simpan (#btnSave)
2. Konfirmasi persetujuan
3. Klik OK</t>
  </si>
  <si>
    <t>Persetujuan final selesai dan status dokumen berubah menjadi APPROVED</t>
  </si>
  <si>
    <t>Approval Tier 2 oleh HENDRAWAN.KHO sukses diproses untuk 26.09/MKPP-MIM/0068.000</t>
  </si>
  <si>
    <t>TC-E2E-17</t>
  </si>
  <si>
    <t>Verifikasi Status Final Dokumen MKPP (APPROVED)</t>
  </si>
  <si>
    <t>Memastikan dokumen 26.09/MKPP-MIM/0068.000 telah berstatus APPROVED penuh dan dapat digunakan pada portal klaim PRM</t>
  </si>
  <si>
    <t>Dokumen telah melewati Tier 1 dan Tier 2 Approval</t>
  </si>
  <si>
    <t>1. Cari dokumen 26.09/MKPP-MIM/0068.000 via modal Find
2. Buka form dan periksa label #lblStatusFlow</t>
  </si>
  <si>
    <t>Status dokumen tampil jelas sebagai APPROVED</t>
  </si>
  <si>
    <t>Dokumen 26.09/MKPP-MIM/0068.000 terkonfirmasi resmi berstatus APPROVED penuh</t>
  </si>
  <si>
    <t>TC-E2E-18</t>
  </si>
  <si>
    <t>PRM Portal</t>
  </si>
  <si>
    <t>Login Subdistributor Bandung Selatan (050311)</t>
  </si>
  <si>
    <t>Melakukan autentikasi portal PRM menggunakan akun KMMD Subdist Bandung Selatan</t>
  </si>
  <si>
    <t>Akun KMMD 050311 aktif di portal PRM Dev</t>
  </si>
  <si>
    <t>1. Masukkan Username = 050311, Password = bypass
2. Submit form login
3. Verifikasi beranda portal terbuka</t>
  </si>
  <si>
    <t>Beranda portal PRM berhasil dimuat dengan hak akses menu Klaim</t>
  </si>
  <si>
    <t>User subdist Bandung Selatan (050311) berhasil masuk ke portal PRM</t>
  </si>
  <si>
    <t>TC-E2E-19</t>
  </si>
  <si>
    <t>Form Klaim DF Baru - Subdist Bandung Selatan</t>
  </si>
  <si>
    <t>Membuka form pembuatan klaim Development Fund baru pada portal PRM</t>
  </si>
  <si>
    <t>User berada pada modul /Klaim/KlaimKDSDF</t>
  </si>
  <si>
    <t>1. Klik tombol New (#btnNew)
2. Form input klaim terbuka dalam kondisi siap diisi</t>
  </si>
  <si>
    <t>Formulir klaim terinisialisasi bersih dengan opsi LOV MKPP dan tabel rincian</t>
  </si>
  <si>
    <t>Formulir klaim baru berhasil diinisialisasi</t>
  </si>
  <si>
    <t>TC-E2E-20</t>
  </si>
  <si>
    <t>Modal LOV Dokumen MKPP Datatable - Bandung Selatan</t>
  </si>
  <si>
    <t>Membuka modal LOV MKPP berpaginasi dan mencari dokumen referensi: 26.09/MKPP-MIM/0068.000</t>
  </si>
  <si>
    <t>Tombol LOV MKPP diklik</t>
  </si>
  <si>
    <t>1. Modal LOV MKPP iframe terbuka
2. Filter pencarian nomor dokumen 26.09/MKPP-MIM/0068.000
3. Verifikasi baris datatable menampilkan pagu dan outstanding budget</t>
  </si>
  <si>
    <t>Modal LOV menampilkan daftar kontrak MKPP resmi yang siap diklaim</t>
  </si>
  <si>
    <t>Dokumen 26.09/MKPP-MIM/0068.000 tampil pada grid datatable LOV MKPP</t>
  </si>
  <si>
    <t>TC-E2E-21</t>
  </si>
  <si>
    <t>Pemilihan Kontrak MKPP Terpilih - Bandung Selatan</t>
  </si>
  <si>
    <t>Memilih dokumen 26.09/MKPP-MIM/0068.000 sehingga data pagu budget terintegrasi ke form klaim</t>
  </si>
  <si>
    <t>Dokumen MKPP terpilih dari modal LOV</t>
  </si>
  <si>
    <t>1. Klik tombol Select pada baris MKPP
2. Verifikasi field #txtMemoMKPP dan kalkulasi reserve budget terisi otomatis</t>
  </si>
  <si>
    <t>Header klaim otomatis terhubung dengan kontrak MKPP yang valid</t>
  </si>
  <si>
    <t>Kontrak 26.09/MKPP-MIM/0068.000 sukses terpilih dan terikat ke form klaim</t>
  </si>
  <si>
    <t>TC-E2E-22</t>
  </si>
  <si>
    <t>Modal LOV Outlet Toko Datatable - Bandung Selatan</t>
  </si>
  <si>
    <t>Membuka modal LOV Outlet dan memilih outlet resmi di area Bandung Selatan</t>
  </si>
  <si>
    <t>Tombol #btnLOVOutlet diklik</t>
  </si>
  <si>
    <t>1. Modal LOV Outlet terbuka
2. Pilih outlet resmi dari datatable
3. Klik Select</t>
  </si>
  <si>
    <t>Outlet resmi berhasil terpilih dan mengisi field toko</t>
  </si>
  <si>
    <t>Outlet resmi area Bandung Selatan terpilih dari datatable LOV</t>
  </si>
  <si>
    <t>TC-E2E-23</t>
  </si>
  <si>
    <t>Pengisian Rincian Baris Klaim (ALL BRAND &amp; SKP) - Bandung Selatan</t>
  </si>
  <si>
    <t>Mengisi nomor invoice (INV/050311/1789512749), nomor SKP (SKP/2026/BDO-E2E-01), nilai klaim Rp 100000, rentang periode (16/09/2026 s/d 31/12/2026), dan mencentang opsi ALL BRAND</t>
  </si>
  <si>
    <t>Baris rincian klaim telah memiliki relasi partner dan activity</t>
  </si>
  <si>
    <t>1. Input No Faktur &amp; SKP
2. Input Nilai Klaim Rp 100.000
3. Set Period From = 16/09/2026 &amp; Period To = 31/12/2026
4. Centang Checkbox ALL BRAND</t>
  </si>
  <si>
    <t>Seluruh kolom pada baris rincian terisi lengkap dan tervalidasi</t>
  </si>
  <si>
    <t>Rincian klaim Bandung Selatan lengkap terisi dengan opsi ALL BRAND dicentang</t>
  </si>
  <si>
    <t>TC-E2E-24</t>
  </si>
  <si>
    <t>Upload Berkas Lampiran Pendukung Klaim - Bandung Selatan</t>
  </si>
  <si>
    <t>Mengunggah berkas PDF lampiran surat kuitansi dan dokumen pendukung klaim</t>
  </si>
  <si>
    <t>Formulir klaim telah selesai diisi</t>
  </si>
  <si>
    <t>1. Pilih file PDF dummy lampiran
2. Verifikasi status file terunggah</t>
  </si>
  <si>
    <t>Berkas dokumen pendukung berhasil dilampirkan ke sistem</t>
  </si>
  <si>
    <t>Lampiran PDF berhasil diunggah pada form pengajuan klaim</t>
  </si>
  <si>
    <t>TC-E2E-25</t>
  </si>
  <si>
    <t>Dialog Konfirmasi Simpan Klaim - Bandung Selatan</t>
  </si>
  <si>
    <t>Memastikan dialog konfirmasi simpan muncul sebelum data disimpan ke database</t>
  </si>
  <si>
    <t>Tombol Simpan diklik</t>
  </si>
  <si>
    <t>1. Klik tombol Simpan (#btnSave)
2. Verifikasi modal konfirmasi Bootbox muncul</t>
  </si>
  <si>
    <t>Dialog konfirmasi meminta persetujuan user untuk menyimpan data klaim</t>
  </si>
  <si>
    <t>Dialog konfirmasi simpan klaim berhasil ditampilkan</t>
  </si>
  <si>
    <t>TC-E2E-26</t>
  </si>
  <si>
    <t>Penerbitan ID &amp; Nomor Dokumen Klaim Resmi - Bandung Selatan</t>
  </si>
  <si>
    <t>Klaim Subdist Bandung Selatan berhasil disimpan dengan ID: 5277 dan Nomor Dokumen: 26.09/KLAIM-CSA/024</t>
  </si>
  <si>
    <t>Klaim berhasil diproses dan disimpan ke database</t>
  </si>
  <si>
    <t>1. Membaca nilai ID (#txtID = 5277)
2. Membaca Nomor Dokumen (#txtDocNo = 26.09/KLAIM-CSA/024)
3. Memverifikasi status inisial (DRAFT)</t>
  </si>
  <si>
    <t>Dokumen klaim resmi terdaftar dan siap diteruskan ke tahap verifikasi ABM di KDS</t>
  </si>
  <si>
    <t>Klaim resmi tersimpan dengan ID 5277 dan No. Dokumen 26.09/KLAIM-CSA/024</t>
  </si>
  <si>
    <t>TC-E2E-27</t>
  </si>
  <si>
    <t>Login Subdistributor Jakarta Selatan (040310)</t>
  </si>
  <si>
    <t>Melakukan autentikasi portal PRM menggunakan akun KMMD Subdist Jakarta Selatan</t>
  </si>
  <si>
    <t>Akun KMMD 040310 aktif di portal PRM Dev</t>
  </si>
  <si>
    <t>1. Masukkan Username = 040310, Password = bypass
2. Submit form login
3. Verifikasi beranda portal terbuka</t>
  </si>
  <si>
    <t>User subdist Jakarta Selatan (040310) berhasil masuk ke portal PRM</t>
  </si>
  <si>
    <t>TC-E2E-28</t>
  </si>
  <si>
    <t>Form Klaim DF Baru - Subdist Jakarta Selatan</t>
  </si>
  <si>
    <t>TC-E2E-29</t>
  </si>
  <si>
    <t>Modal LOV Dokumen MKPP Datatable - Jakarta Selatan</t>
  </si>
  <si>
    <t>TC-E2E-30</t>
  </si>
  <si>
    <t>Pemilihan Kontrak MKPP Terpilih - Jakarta Selatan</t>
  </si>
  <si>
    <t>TC-E2E-31</t>
  </si>
  <si>
    <t>Modal LOV Outlet Toko Datatable - Jakarta Selatan</t>
  </si>
  <si>
    <t>Membuka modal LOV Outlet dan memilih outlet resmi di area Jakarta Selatan</t>
  </si>
  <si>
    <t>Outlet resmi area Jakarta Selatan terpilih dari datatable LOV</t>
  </si>
  <si>
    <t>TC-E2E-32</t>
  </si>
  <si>
    <t>Pengisian Rincian Baris Klaim (ALL BRAND &amp; SKP) - Jakarta Selatan</t>
  </si>
  <si>
    <t>Mengisi nomor invoice (INV/040310/1789512810), nomor SKP (SKP/2026/JKT-E2E-01), nilai klaim Rp 100000, rentang periode (16/09/2026 s/d 31/12/2026), dan mencentang opsi ALL BRAND</t>
  </si>
  <si>
    <t>Rincian klaim Jakarta Selatan lengkap terisi dengan opsi ALL BRAND dicentang</t>
  </si>
  <si>
    <t>TC-E2E-33</t>
  </si>
  <si>
    <t>Upload Berkas Lampiran Pendukung Klaim - Jakarta Selatan</t>
  </si>
  <si>
    <t>TC-E2E-34</t>
  </si>
  <si>
    <t>Dialog Konfirmasi Simpan Klaim - Jakarta Selatan</t>
  </si>
  <si>
    <t>TC-E2E-35</t>
  </si>
  <si>
    <t>Penerbitan ID &amp; Nomor Dokumen Klaim Resmi - Jakarta Selatan</t>
  </si>
  <si>
    <t>Klaim Subdist Jakarta Selatan berhasil disimpan dengan ID: 5278 dan Nomor Dokumen: 26.09/KLAIM-CSA/025</t>
  </si>
  <si>
    <t>1. Membaca nilai ID (#txtID = 5278)
2. Membaca Nomor Dokumen (#txtDocNo = 26.09/KLAIM-CSA/025)
3. Memverifikasi status inisial (DRAFT)</t>
  </si>
  <si>
    <t>Klaim resmi tersimpan dengan ID 5278 dan No. Dokumen 26.09/KLAIM-CSA/025</t>
  </si>
  <si>
    <t>TC-E2E-36</t>
  </si>
  <si>
    <t>KICAO KDS (ABM)</t>
  </si>
  <si>
    <t>Review Kelengkapan Klaim oleh ABM - Bandung Selatan</t>
  </si>
  <si>
    <t>Area Business Manager mereview dokumen klaim ID 5277 (26.09/KLAIM-CSA/024) dan data rincian toko</t>
  </si>
  <si>
    <t>Klaim telah terdaftar dari PRM</t>
  </si>
  <si>
    <t>1. Login ABM muhammad.prasetyo
2. Buka Klaim ID 5277
3. Review rincian tagihan dan dokumen pendukung</t>
  </si>
  <si>
    <t>Seluruh berkas klaim dapat diverifikasi oleh ABM</t>
  </si>
  <si>
    <t>Klaim ID 5277 (Bandung Selatan) berhasil direview oleh ABM</t>
  </si>
  <si>
    <t>TC-E2E-37</t>
  </si>
  <si>
    <t>Verifikasi ABM: Ready to Submit = YES - Bandung Selatan</t>
  </si>
  <si>
    <t>Mengubah flag 'Ready to Submit' menjadi YES dan menyimpan status verifikasi ABM untuk klaim 26.09/KLAIM-CSA/024</t>
  </si>
  <si>
    <t>Klaim telah direview</t>
  </si>
  <si>
    <t>1. Ubah radio button Ready to Submit ke YES
2. Klik Simpan dan konfirmasi
3. Verifikasi alert sukses</t>
  </si>
  <si>
    <t>Status verifikasi ABM tersimpan dengan flag BIT_READY_SUBMIT = Y</t>
  </si>
  <si>
    <t>Klaim ID 5277 berhasil ditandai Ready to Submit = YES oleh ABM</t>
  </si>
  <si>
    <t>TC-E2E-38</t>
  </si>
  <si>
    <t>Review Kelengkapan Klaim oleh ABM - Jakarta Selatan</t>
  </si>
  <si>
    <t>Area Business Manager mereview dokumen klaim ID 5278 (26.09/KLAIM-CSA/025) dan data rincian toko</t>
  </si>
  <si>
    <t>1. Login ABM muhammad.prasetyo
2. Buka Klaim ID 5278
3. Review rincian tagihan dan dokumen pendukung</t>
  </si>
  <si>
    <t>Klaim ID 5278 (Jakarta Selatan) berhasil direview oleh ABM</t>
  </si>
  <si>
    <t>TC-E2E-39</t>
  </si>
  <si>
    <t>Verifikasi ABM: Ready to Submit = YES - Jakarta Selatan</t>
  </si>
  <si>
    <t>Mengubah flag 'Ready to Submit' menjadi YES dan menyimpan status verifikasi ABM untuk klaim 26.09/KLAIM-CSA/025</t>
  </si>
  <si>
    <t>Klaim ID 5278 berhasil ditandai Ready to Submit = YES oleh ABM</t>
  </si>
  <si>
    <t>TC-E2E-40</t>
  </si>
  <si>
    <t>KICAO KDS (Submit)</t>
  </si>
  <si>
    <t>Dialog Konfirmasi Submit Final Klaim - Bandung Selatan</t>
  </si>
  <si>
    <t>Memastikan klaim ID 5277 siap disubmit setelah diverifikasi oleh ABM</t>
  </si>
  <si>
    <t>ABM telah menandai Ready to Submit = YES</t>
  </si>
  <si>
    <t>1. Login user Muslih
2. Buka klaim ID {cid}
3. Klik tombol Submit (#btnSubmit)
4. Verifikasi modal konfirmasi</t>
  </si>
  <si>
    <t>Modal konfirmasi persetujuan submit muncul</t>
  </si>
  <si>
    <t>Dialog konfirmasi submit final berhasil ditampilkan untuk ID 5277</t>
  </si>
  <si>
    <t>TC-E2E-41</t>
  </si>
  <si>
    <t>KICAO KDS (Approval)</t>
  </si>
  <si>
    <t>Verifikasi Status Final Klaim (APPROVED) - Bandung Selatan</t>
  </si>
  <si>
    <t>Dokumen klaim ID 5277 (26.09/KLAIM-CSA/024 - Bandung Selatan) berhasil disubmit dan berstatus APPROVED penuh</t>
  </si>
  <si>
    <t>Dokumen telah melewati verifikasi ABM dan disubmit oleh Creator</t>
  </si>
  <si>
    <t>1. Konfirmasi submit dokumen klaim
2. Verifikasi perubahan status label #lblStatusFlow</t>
  </si>
  <si>
    <t>Status alur persetujuan klaim berubah menjadi APPROVED</t>
  </si>
  <si>
    <t>Klaim 26.09/KLAIM-CSA/024 (Bandung Selatan) sukses berstatus resmi APPROVED penuh</t>
  </si>
  <si>
    <t>TC-E2E-42</t>
  </si>
  <si>
    <t>Dialog Konfirmasi Submit Final Klaim - Jakarta Selatan</t>
  </si>
  <si>
    <t>Memastikan klaim ID 5278 siap disubmit setelah diverifikasi oleh ABM</t>
  </si>
  <si>
    <t>Dialog konfirmasi submit final berhasil ditampilkan untuk ID 5278</t>
  </si>
  <si>
    <t>TC-E2E-43</t>
  </si>
  <si>
    <t>Verifikasi Status Final Klaim (APPROVED) - Jakarta Selatan</t>
  </si>
  <si>
    <t>Dokumen klaim ID 5278 (26.09/KLAIM-CSA/025 - Jakarta Selatan) berhasil disubmit dan berstatus APPROVED penuh</t>
  </si>
  <si>
    <t>Klaim 26.09/KLAIM-CSA/025 (Jakarta Selatan) sukses berstatus resmi APPROVED penuh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</si>
</sst>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5"/>
      <color rgb="FF1B5E20"/>
      <name val="Calibri"/>
    </font>
    <font>
      <i/>
      <sz val="10"/>
      <color rgb="FF374151"/>
      <name val="Calibri"/>
    </font>
    <font>
      <b/>
      <sz val="10"/>
      <color rgb="FF1F2937"/>
      <name val="Calibri"/>
    </font>
    <font>
      <sz val="10"/>
      <color rgb="FF111827"/>
      <name val="Calibri"/>
    </font>
    <font>
      <b/>
      <sz val="10"/>
      <color rgb="FFFFFFFF"/>
      <name val="Calibri"/>
    </font>
    <font>
      <b/>
      <sz val="9"/>
      <color rgb="FF065F46"/>
      <name val="Calibri"/>
    </font>
    <font>
      <b/>
      <u/>
      <sz val="9"/>
      <color rgb="FF1E40AF"/>
      <name val="Calibri"/>
    </font>
    <font>
      <sz val="9"/>
      <color rgb="FF11182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0FDF4"/>
        <bgColor rgb="FFF0FDF4"/>
      </patternFill>
    </fill>
    <fill>
      <patternFill patternType="solid">
        <fgColor rgb="FF1E7D37"/>
        <bgColor rgb="FF1E7D37"/>
      </patternFill>
    </fill>
    <fill>
      <patternFill patternType="solid">
        <fgColor rgb="FFD1FAE5"/>
        <bgColor rgb="FFD1FAE5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evidence_e2e/13_KDS_Approval_Tier1_Approved_Success.png" TargetMode="External"/><Relationship Id="rId18" Type="http://schemas.openxmlformats.org/officeDocument/2006/relationships/hyperlink" Target="evidence_e2e/18_PRM_BDO_Login_Dashboard.png" TargetMode="External"/><Relationship Id="rId26" Type="http://schemas.openxmlformats.org/officeDocument/2006/relationships/hyperlink" Target="evidence_e2e/26_PRM_BDO_Claim_Saved_ID_5277_26.09_KLAIM-CSA_024.png" TargetMode="External"/><Relationship Id="rId39" Type="http://schemas.openxmlformats.org/officeDocument/2006/relationships/hyperlink" Target="evidence_e2e/39_KDS_ABM_JKT_ReadySubmit_YES.png" TargetMode="External"/><Relationship Id="rId21" Type="http://schemas.openxmlformats.org/officeDocument/2006/relationships/hyperlink" Target="evidence_e2e/21_PRM_BDO_MKPP_Selected_Reserve.png" TargetMode="External"/><Relationship Id="rId34" Type="http://schemas.openxmlformats.org/officeDocument/2006/relationships/hyperlink" Target="evidence_e2e/34_PRM_JKT_Save_Confirmation_Dialog.png" TargetMode="External"/><Relationship Id="rId42" Type="http://schemas.openxmlformats.org/officeDocument/2006/relationships/hyperlink" Target="evidence_e2e/42_KDS_Muslih_JKT_Submit_Confirmation.png" TargetMode="External"/><Relationship Id="rId7" Type="http://schemas.openxmlformats.org/officeDocument/2006/relationships/hyperlink" Target="evidence_e2e/07_MKPP_Full_Form_Filled.png" TargetMode="External"/><Relationship Id="rId2" Type="http://schemas.openxmlformats.org/officeDocument/2006/relationships/hyperlink" Target="evidence_e2e/02_MKPP_LOV_Group_Datatable.png" TargetMode="External"/><Relationship Id="rId16" Type="http://schemas.openxmlformats.org/officeDocument/2006/relationships/hyperlink" Target="evidence_e2e/16_KDS_Approval_Tier2_Approved_Success.png" TargetMode="External"/><Relationship Id="rId20" Type="http://schemas.openxmlformats.org/officeDocument/2006/relationships/hyperlink" Target="evidence_e2e/20_PRM_BDO_LOV_MKPP_Datatable.png" TargetMode="External"/><Relationship Id="rId29" Type="http://schemas.openxmlformats.org/officeDocument/2006/relationships/hyperlink" Target="evidence_e2e/29_PRM_JKT_LOV_MKPP_Datatable.png" TargetMode="External"/><Relationship Id="rId41" Type="http://schemas.openxmlformats.org/officeDocument/2006/relationships/hyperlink" Target="evidence_e2e/41_KDS_Muslih_BDO_Final_APPROVED.png" TargetMode="External"/><Relationship Id="rId1" Type="http://schemas.openxmlformats.org/officeDocument/2006/relationships/hyperlink" Target="evidence_e2e\01_MKPP_Dashboard_Initial.png" TargetMode="External"/><Relationship Id="rId6" Type="http://schemas.openxmlformats.org/officeDocument/2006/relationships/hyperlink" Target="evidence_e2e/06_MKPP_SKP_Modal_JKT_3NestedRows.png" TargetMode="External"/><Relationship Id="rId11" Type="http://schemas.openxmlformats.org/officeDocument/2006/relationships/hyperlink" Target="evidence_e2e/11_KDS_Approval_Tier1_Detail_Review.png" TargetMode="External"/><Relationship Id="rId24" Type="http://schemas.openxmlformats.org/officeDocument/2006/relationships/hyperlink" Target="evidence_e2e/24_PRM_BDO_Claim_Attachment_Uploaded.png" TargetMode="External"/><Relationship Id="rId32" Type="http://schemas.openxmlformats.org/officeDocument/2006/relationships/hyperlink" Target="evidence_e2e/32_PRM_JKT_Claim_Row_Datatable_Filled.png" TargetMode="External"/><Relationship Id="rId37" Type="http://schemas.openxmlformats.org/officeDocument/2006/relationships/hyperlink" Target="evidence_e2e/37_KDS_ABM_BDO_ReadySubmit_YES.png" TargetMode="External"/><Relationship Id="rId40" Type="http://schemas.openxmlformats.org/officeDocument/2006/relationships/hyperlink" Target="evidence_e2e/40_KDS_Muslih_BDO_Submit_Confirmation.png" TargetMode="External"/><Relationship Id="rId5" Type="http://schemas.openxmlformats.org/officeDocument/2006/relationships/hyperlink" Target="evidence_e2e/05_MKPP_LOV_Subdist_JKT_Datatable.png" TargetMode="External"/><Relationship Id="rId15" Type="http://schemas.openxmlformats.org/officeDocument/2006/relationships/hyperlink" Target="evidence_e2e/15_KDS_Approval_Tier2_Checkbox_Selected.png" TargetMode="External"/><Relationship Id="rId23" Type="http://schemas.openxmlformats.org/officeDocument/2006/relationships/hyperlink" Target="evidence_e2e/23_PRM_BDO_Claim_Row_Datatable_Filled.png" TargetMode="External"/><Relationship Id="rId28" Type="http://schemas.openxmlformats.org/officeDocument/2006/relationships/hyperlink" Target="evidence_e2e/28_PRM_JKT_Claim_Form_New.png" TargetMode="External"/><Relationship Id="rId36" Type="http://schemas.openxmlformats.org/officeDocument/2006/relationships/hyperlink" Target="evidence_e2e/36_KDS_ABM_BDO_Claim_Review.png" TargetMode="External"/><Relationship Id="rId10" Type="http://schemas.openxmlformats.org/officeDocument/2006/relationships/hyperlink" Target="evidence_e2e/10_KDS_Approval_Tier1_Inbox_Datatable.png" TargetMode="External"/><Relationship Id="rId19" Type="http://schemas.openxmlformats.org/officeDocument/2006/relationships/hyperlink" Target="evidence_e2e/19_PRM_BDO_Claim_Form_New.png" TargetMode="External"/><Relationship Id="rId31" Type="http://schemas.openxmlformats.org/officeDocument/2006/relationships/hyperlink" Target="evidence_e2e/31_PRM_JKT_LOV_Outlet_Datatable.png" TargetMode="External"/><Relationship Id="rId4" Type="http://schemas.openxmlformats.org/officeDocument/2006/relationships/hyperlink" Target="evidence_e2e/04_MKPP_SKP_Modal_BDO_3NestedRows.png" TargetMode="External"/><Relationship Id="rId9" Type="http://schemas.openxmlformats.org/officeDocument/2006/relationships/hyperlink" Target="evidence_e2e/09_MKPP_Success_DocNo_26.09_MKPP-MIM_0068.000.png" TargetMode="External"/><Relationship Id="rId14" Type="http://schemas.openxmlformats.org/officeDocument/2006/relationships/hyperlink" Target="evidence_e2e/14_KDS_Approval_Tier2_Inbox_Datatable.png" TargetMode="External"/><Relationship Id="rId22" Type="http://schemas.openxmlformats.org/officeDocument/2006/relationships/hyperlink" Target="evidence_e2e/22_PRM_BDO_LOV_Outlet_Datatable.png" TargetMode="External"/><Relationship Id="rId27" Type="http://schemas.openxmlformats.org/officeDocument/2006/relationships/hyperlink" Target="evidence_e2e/27_PRM_JKT_Login_Dashboard.png" TargetMode="External"/><Relationship Id="rId30" Type="http://schemas.openxmlformats.org/officeDocument/2006/relationships/hyperlink" Target="evidence_e2e/30_PRM_JKT_MKPP_Selected_Reserve.png" TargetMode="External"/><Relationship Id="rId35" Type="http://schemas.openxmlformats.org/officeDocument/2006/relationships/hyperlink" Target="evidence_e2e/35_PRM_JKT_Claim_Saved_ID_5278_26.09_KLAIM-CSA_025.png" TargetMode="External"/><Relationship Id="rId43" Type="http://schemas.openxmlformats.org/officeDocument/2006/relationships/hyperlink" Target="evidence_e2e/43_KDS_Muslih_JKT_Final_APPROVED.png" TargetMode="External"/><Relationship Id="rId8" Type="http://schemas.openxmlformats.org/officeDocument/2006/relationships/hyperlink" Target="evidence_e2e/08_MKPP_Submit_Confirmation.png" TargetMode="External"/><Relationship Id="rId3" Type="http://schemas.openxmlformats.org/officeDocument/2006/relationships/hyperlink" Target="evidence_e2e/03_MKPP_LOV_Subdist_BDO_Datatable.png" TargetMode="External"/><Relationship Id="rId12" Type="http://schemas.openxmlformats.org/officeDocument/2006/relationships/hyperlink" Target="evidence_e2e/12_KDS_Approval_Tier1_Checkbox_Selected.png" TargetMode="External"/><Relationship Id="rId17" Type="http://schemas.openxmlformats.org/officeDocument/2006/relationships/hyperlink" Target="evidence_e2e/17_KDS_MKPP_Final_Approved_26.09_MKPP-MIM_0068.000.png" TargetMode="External"/><Relationship Id="rId25" Type="http://schemas.openxmlformats.org/officeDocument/2006/relationships/hyperlink" Target="evidence_e2e/25_PRM_BDO_Save_Confirmation_Dialog.png" TargetMode="External"/><Relationship Id="rId33" Type="http://schemas.openxmlformats.org/officeDocument/2006/relationships/hyperlink" Target="evidence_e2e/33_PRM_JKT_Claim_Attachment_Uploaded.png" TargetMode="External"/><Relationship Id="rId38" Type="http://schemas.openxmlformats.org/officeDocument/2006/relationships/hyperlink" Target="evidence_e2e/38_KDS_ABM_JKT_Claim_Revie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3"/>
  <cols>
    <col min="1" max="1" width="38" customWidth="1"/>
    <col min="2" max="2" width="95" customWidth="1"/>
  </cols>
  <sheetData>
    <row r="1" spans="1:2" ht="19.8" x14ac:dyDescent="0.4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x14ac:dyDescent="0.3">
      <c r="A6" s="3" t="s">
        <v>6</v>
      </c>
      <c r="B6" s="4" t="s">
        <v>7</v>
      </c>
    </row>
    <row r="7" spans="1:2" x14ac:dyDescent="0.3">
      <c r="A7" s="3" t="s">
        <v>8</v>
      </c>
      <c r="B7" s="4" t="s">
        <v>9</v>
      </c>
    </row>
    <row r="8" spans="1:2" x14ac:dyDescent="0.3">
      <c r="A8" s="3" t="s">
        <v>10</v>
      </c>
      <c r="B8" s="4" t="s">
        <v>11</v>
      </c>
    </row>
    <row r="9" spans="1:2" x14ac:dyDescent="0.3">
      <c r="A9" s="3" t="s">
        <v>12</v>
      </c>
      <c r="B9" s="4" t="s">
        <v>13</v>
      </c>
    </row>
    <row r="10" spans="1:2" x14ac:dyDescent="0.3">
      <c r="A10" s="3" t="s">
        <v>14</v>
      </c>
      <c r="B10" s="4" t="s">
        <v>15</v>
      </c>
    </row>
    <row r="11" spans="1:2" x14ac:dyDescent="0.3">
      <c r="A11" s="3" t="s">
        <v>16</v>
      </c>
      <c r="B11" s="4" t="s">
        <v>17</v>
      </c>
    </row>
    <row r="12" spans="1:2" x14ac:dyDescent="0.3">
      <c r="A12" s="3" t="s">
        <v>18</v>
      </c>
      <c r="B12" s="4" t="s">
        <v>19</v>
      </c>
    </row>
    <row r="13" spans="1:2" x14ac:dyDescent="0.3">
      <c r="A13" s="3" t="s">
        <v>20</v>
      </c>
      <c r="B13" s="4" t="s">
        <v>21</v>
      </c>
    </row>
    <row r="14" spans="1:2" x14ac:dyDescent="0.3">
      <c r="A14" s="3" t="s">
        <v>22</v>
      </c>
      <c r="B14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G16" workbookViewId="0">
      <selection activeCell="M2" sqref="M2"/>
    </sheetView>
  </sheetViews>
  <sheetFormatPr defaultRowHeight="14.4" x14ac:dyDescent="0.3"/>
  <cols>
    <col min="1" max="1" width="6" customWidth="1"/>
    <col min="2" max="2" width="16" customWidth="1"/>
    <col min="3" max="3" width="20" customWidth="1"/>
    <col min="4" max="4" width="26" customWidth="1"/>
    <col min="5" max="5" width="10" customWidth="1"/>
    <col min="6" max="6" width="35" customWidth="1"/>
    <col min="7" max="7" width="28" customWidth="1"/>
    <col min="8" max="8" width="38" customWidth="1"/>
    <col min="9" max="9" width="32" customWidth="1"/>
    <col min="10" max="10" width="10" customWidth="1"/>
    <col min="11" max="11" width="12" customWidth="1"/>
    <col min="12" max="12" width="35" customWidth="1"/>
    <col min="13" max="13" width="18" customWidth="1"/>
    <col min="14" max="14" width="12" customWidth="1"/>
    <col min="15" max="15" width="14" customWidth="1"/>
  </cols>
  <sheetData>
    <row r="1" spans="1:15" ht="28.05" customHeight="1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</row>
    <row r="2" spans="1:15" ht="64.95" customHeight="1" x14ac:dyDescent="0.3">
      <c r="A2" s="6">
        <v>1</v>
      </c>
      <c r="B2" s="6" t="s">
        <v>39</v>
      </c>
      <c r="C2" s="7" t="s">
        <v>40</v>
      </c>
      <c r="D2" s="7" t="s">
        <v>41</v>
      </c>
      <c r="E2" s="6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6" t="s">
        <v>47</v>
      </c>
      <c r="K2" s="9" t="s">
        <v>48</v>
      </c>
      <c r="L2" s="8" t="s">
        <v>49</v>
      </c>
      <c r="M2" s="10" t="str">
        <f>HYPERLINK("evidence_e2e\01_MKPP_Dashboard_Initial.png", "Lihat Evidence")</f>
        <v>Lihat Evidence</v>
      </c>
      <c r="N2" s="6" t="s">
        <v>5</v>
      </c>
      <c r="O2" s="6" t="s">
        <v>3</v>
      </c>
    </row>
    <row r="3" spans="1:15" ht="64.95" customHeight="1" x14ac:dyDescent="0.3">
      <c r="A3" s="11">
        <v>2</v>
      </c>
      <c r="B3" s="11" t="s">
        <v>50</v>
      </c>
      <c r="C3" s="12" t="s">
        <v>40</v>
      </c>
      <c r="D3" s="12" t="s">
        <v>51</v>
      </c>
      <c r="E3" s="11" t="s">
        <v>42</v>
      </c>
      <c r="F3" s="13" t="s">
        <v>52</v>
      </c>
      <c r="G3" s="13" t="s">
        <v>53</v>
      </c>
      <c r="H3" s="13" t="s">
        <v>54</v>
      </c>
      <c r="I3" s="13" t="s">
        <v>55</v>
      </c>
      <c r="J3" s="11" t="s">
        <v>56</v>
      </c>
      <c r="K3" s="9" t="s">
        <v>48</v>
      </c>
      <c r="L3" s="13" t="s">
        <v>57</v>
      </c>
      <c r="M3" s="14" t="str">
        <f>HYPERLINK("evidence_e2e\02_MKPP_LOV_Group_Datatable.png", "Lihat Evidence")</f>
        <v>Lihat Evidence</v>
      </c>
      <c r="N3" s="11" t="s">
        <v>5</v>
      </c>
      <c r="O3" s="11" t="s">
        <v>3</v>
      </c>
    </row>
    <row r="4" spans="1:15" ht="64.95" customHeight="1" x14ac:dyDescent="0.3">
      <c r="A4" s="6">
        <v>3</v>
      </c>
      <c r="B4" s="6" t="s">
        <v>58</v>
      </c>
      <c r="C4" s="7" t="s">
        <v>40</v>
      </c>
      <c r="D4" s="7" t="s">
        <v>59</v>
      </c>
      <c r="E4" s="6" t="s">
        <v>42</v>
      </c>
      <c r="F4" s="8" t="s">
        <v>60</v>
      </c>
      <c r="G4" s="8" t="s">
        <v>61</v>
      </c>
      <c r="H4" s="8" t="s">
        <v>62</v>
      </c>
      <c r="I4" s="8" t="s">
        <v>63</v>
      </c>
      <c r="J4" s="6" t="s">
        <v>56</v>
      </c>
      <c r="K4" s="9" t="s">
        <v>48</v>
      </c>
      <c r="L4" s="8" t="s">
        <v>64</v>
      </c>
      <c r="M4" s="10" t="str">
        <f>HYPERLINK("evidence_e2e\03_MKPP_LOV_Subdist_BDO_Datatable.png", "Lihat Evidence")</f>
        <v>Lihat Evidence</v>
      </c>
      <c r="N4" s="6" t="s">
        <v>5</v>
      </c>
      <c r="O4" s="6" t="s">
        <v>3</v>
      </c>
    </row>
    <row r="5" spans="1:15" ht="64.95" customHeight="1" x14ac:dyDescent="0.3">
      <c r="A5" s="11">
        <v>4</v>
      </c>
      <c r="B5" s="11" t="s">
        <v>65</v>
      </c>
      <c r="C5" s="12" t="s">
        <v>40</v>
      </c>
      <c r="D5" s="12" t="s">
        <v>66</v>
      </c>
      <c r="E5" s="11" t="s">
        <v>42</v>
      </c>
      <c r="F5" s="13" t="s">
        <v>67</v>
      </c>
      <c r="G5" s="13" t="s">
        <v>68</v>
      </c>
      <c r="H5" s="13" t="s">
        <v>69</v>
      </c>
      <c r="I5" s="13" t="s">
        <v>70</v>
      </c>
      <c r="J5" s="11" t="s">
        <v>56</v>
      </c>
      <c r="K5" s="9" t="s">
        <v>48</v>
      </c>
      <c r="L5" s="13" t="s">
        <v>71</v>
      </c>
      <c r="M5" s="14" t="str">
        <f>HYPERLINK("evidence_e2e\04_MKPP_SKP_Modal_BDO_3NestedRows.png", "Lihat Evidence")</f>
        <v>Lihat Evidence</v>
      </c>
      <c r="N5" s="11" t="s">
        <v>5</v>
      </c>
      <c r="O5" s="11" t="s">
        <v>3</v>
      </c>
    </row>
    <row r="6" spans="1:15" ht="64.95" customHeight="1" x14ac:dyDescent="0.3">
      <c r="A6" s="6">
        <v>5</v>
      </c>
      <c r="B6" s="6" t="s">
        <v>72</v>
      </c>
      <c r="C6" s="7" t="s">
        <v>40</v>
      </c>
      <c r="D6" s="7" t="s">
        <v>73</v>
      </c>
      <c r="E6" s="6" t="s">
        <v>42</v>
      </c>
      <c r="F6" s="8" t="s">
        <v>74</v>
      </c>
      <c r="G6" s="8" t="s">
        <v>75</v>
      </c>
      <c r="H6" s="8" t="s">
        <v>76</v>
      </c>
      <c r="I6" s="8" t="s">
        <v>63</v>
      </c>
      <c r="J6" s="6" t="s">
        <v>56</v>
      </c>
      <c r="K6" s="9" t="s">
        <v>48</v>
      </c>
      <c r="L6" s="8" t="s">
        <v>77</v>
      </c>
      <c r="M6" s="10" t="str">
        <f>HYPERLINK("evidence_e2e\05_MKPP_LOV_Subdist_JKT_Datatable.png", "Lihat Evidence")</f>
        <v>Lihat Evidence</v>
      </c>
      <c r="N6" s="6" t="s">
        <v>5</v>
      </c>
      <c r="O6" s="6" t="s">
        <v>3</v>
      </c>
    </row>
    <row r="7" spans="1:15" ht="64.95" customHeight="1" x14ac:dyDescent="0.3">
      <c r="A7" s="11">
        <v>6</v>
      </c>
      <c r="B7" s="11" t="s">
        <v>78</v>
      </c>
      <c r="C7" s="12" t="s">
        <v>40</v>
      </c>
      <c r="D7" s="12" t="s">
        <v>79</v>
      </c>
      <c r="E7" s="11" t="s">
        <v>42</v>
      </c>
      <c r="F7" s="13" t="s">
        <v>80</v>
      </c>
      <c r="G7" s="13" t="s">
        <v>81</v>
      </c>
      <c r="H7" s="13" t="s">
        <v>69</v>
      </c>
      <c r="I7" s="13" t="s">
        <v>70</v>
      </c>
      <c r="J7" s="11" t="s">
        <v>56</v>
      </c>
      <c r="K7" s="9" t="s">
        <v>48</v>
      </c>
      <c r="L7" s="13" t="s">
        <v>82</v>
      </c>
      <c r="M7" s="14" t="str">
        <f>HYPERLINK("evidence_e2e\06_MKPP_SKP_Modal_JKT_3NestedRows.png", "Lihat Evidence")</f>
        <v>Lihat Evidence</v>
      </c>
      <c r="N7" s="11" t="s">
        <v>5</v>
      </c>
      <c r="O7" s="11" t="s">
        <v>3</v>
      </c>
    </row>
    <row r="8" spans="1:15" ht="64.95" customHeight="1" x14ac:dyDescent="0.3">
      <c r="A8" s="6">
        <v>7</v>
      </c>
      <c r="B8" s="6" t="s">
        <v>83</v>
      </c>
      <c r="C8" s="7" t="s">
        <v>40</v>
      </c>
      <c r="D8" s="7" t="s">
        <v>84</v>
      </c>
      <c r="E8" s="6" t="s">
        <v>42</v>
      </c>
      <c r="F8" s="8" t="s">
        <v>85</v>
      </c>
      <c r="G8" s="8" t="s">
        <v>86</v>
      </c>
      <c r="H8" s="8" t="s">
        <v>87</v>
      </c>
      <c r="I8" s="8" t="s">
        <v>88</v>
      </c>
      <c r="J8" s="6" t="s">
        <v>56</v>
      </c>
      <c r="K8" s="9" t="s">
        <v>48</v>
      </c>
      <c r="L8" s="8" t="s">
        <v>89</v>
      </c>
      <c r="M8" s="10" t="str">
        <f>HYPERLINK("evidence_e2e\07_MKPP_Full_Form_Filled.png", "Lihat Evidence")</f>
        <v>Lihat Evidence</v>
      </c>
      <c r="N8" s="6" t="s">
        <v>5</v>
      </c>
      <c r="O8" s="6" t="s">
        <v>3</v>
      </c>
    </row>
    <row r="9" spans="1:15" ht="64.95" customHeight="1" x14ac:dyDescent="0.3">
      <c r="A9" s="11">
        <v>8</v>
      </c>
      <c r="B9" s="11" t="s">
        <v>90</v>
      </c>
      <c r="C9" s="12" t="s">
        <v>40</v>
      </c>
      <c r="D9" s="12" t="s">
        <v>91</v>
      </c>
      <c r="E9" s="11" t="s">
        <v>42</v>
      </c>
      <c r="F9" s="13" t="s">
        <v>92</v>
      </c>
      <c r="G9" s="13" t="s">
        <v>93</v>
      </c>
      <c r="H9" s="13" t="s">
        <v>94</v>
      </c>
      <c r="I9" s="13" t="s">
        <v>95</v>
      </c>
      <c r="J9" s="11" t="s">
        <v>47</v>
      </c>
      <c r="K9" s="9" t="s">
        <v>48</v>
      </c>
      <c r="L9" s="13" t="s">
        <v>96</v>
      </c>
      <c r="M9" s="14" t="str">
        <f>HYPERLINK("evidence_e2e\08_MKPP_Submit_Confirmation.png", "Lihat Evidence")</f>
        <v>Lihat Evidence</v>
      </c>
      <c r="N9" s="11" t="s">
        <v>5</v>
      </c>
      <c r="O9" s="11" t="s">
        <v>3</v>
      </c>
    </row>
    <row r="10" spans="1:15" ht="64.95" customHeight="1" x14ac:dyDescent="0.3">
      <c r="A10" s="6">
        <v>9</v>
      </c>
      <c r="B10" s="6" t="s">
        <v>97</v>
      </c>
      <c r="C10" s="7" t="s">
        <v>40</v>
      </c>
      <c r="D10" s="7" t="s">
        <v>98</v>
      </c>
      <c r="E10" s="6" t="s">
        <v>42</v>
      </c>
      <c r="F10" s="8" t="s">
        <v>99</v>
      </c>
      <c r="G10" s="8" t="s">
        <v>100</v>
      </c>
      <c r="H10" s="8" t="s">
        <v>101</v>
      </c>
      <c r="I10" s="8" t="s">
        <v>102</v>
      </c>
      <c r="J10" s="6" t="s">
        <v>56</v>
      </c>
      <c r="K10" s="9" t="s">
        <v>48</v>
      </c>
      <c r="L10" s="8" t="s">
        <v>103</v>
      </c>
      <c r="M10" s="10" t="str">
        <f>HYPERLINK("evidence_e2e\09_MKPP_Success_DocNo_26.09_MKPP-MIM_0068.000.png", "Lihat Evidence")</f>
        <v>Lihat Evidence</v>
      </c>
      <c r="N10" s="6" t="s">
        <v>5</v>
      </c>
      <c r="O10" s="6" t="s">
        <v>3</v>
      </c>
    </row>
    <row r="11" spans="1:15" ht="64.95" customHeight="1" x14ac:dyDescent="0.3">
      <c r="A11" s="11">
        <v>10</v>
      </c>
      <c r="B11" s="11" t="s">
        <v>104</v>
      </c>
      <c r="C11" s="12" t="s">
        <v>105</v>
      </c>
      <c r="D11" s="12" t="s">
        <v>106</v>
      </c>
      <c r="E11" s="11" t="s">
        <v>42</v>
      </c>
      <c r="F11" s="13" t="s">
        <v>107</v>
      </c>
      <c r="G11" s="13" t="s">
        <v>108</v>
      </c>
      <c r="H11" s="13" t="s">
        <v>109</v>
      </c>
      <c r="I11" s="13" t="s">
        <v>110</v>
      </c>
      <c r="J11" s="11" t="s">
        <v>56</v>
      </c>
      <c r="K11" s="9" t="s">
        <v>48</v>
      </c>
      <c r="L11" s="13" t="s">
        <v>111</v>
      </c>
      <c r="M11" s="14" t="str">
        <f>HYPERLINK("evidence_e2e\10_KDS_Approval_Tier1_Inbox_Datatable.png", "Lihat Evidence")</f>
        <v>Lihat Evidence</v>
      </c>
      <c r="N11" s="11" t="s">
        <v>5</v>
      </c>
      <c r="O11" s="11" t="s">
        <v>3</v>
      </c>
    </row>
    <row r="12" spans="1:15" ht="64.95" customHeight="1" x14ac:dyDescent="0.3">
      <c r="A12" s="6">
        <v>11</v>
      </c>
      <c r="B12" s="6" t="s">
        <v>112</v>
      </c>
      <c r="C12" s="7" t="s">
        <v>105</v>
      </c>
      <c r="D12" s="7" t="s">
        <v>113</v>
      </c>
      <c r="E12" s="6" t="s">
        <v>42</v>
      </c>
      <c r="F12" s="8" t="s">
        <v>114</v>
      </c>
      <c r="G12" s="8" t="s">
        <v>115</v>
      </c>
      <c r="H12" s="8" t="s">
        <v>116</v>
      </c>
      <c r="I12" s="8" t="s">
        <v>117</v>
      </c>
      <c r="J12" s="6" t="s">
        <v>47</v>
      </c>
      <c r="K12" s="9" t="s">
        <v>48</v>
      </c>
      <c r="L12" s="8" t="s">
        <v>118</v>
      </c>
      <c r="M12" s="10" t="str">
        <f>HYPERLINK("evidence_e2e\11_KDS_Approval_Tier1_Detail_Review.png", "Lihat Evidence")</f>
        <v>Lihat Evidence</v>
      </c>
      <c r="N12" s="6" t="s">
        <v>5</v>
      </c>
      <c r="O12" s="6" t="s">
        <v>3</v>
      </c>
    </row>
    <row r="13" spans="1:15" ht="64.95" customHeight="1" x14ac:dyDescent="0.3">
      <c r="A13" s="11">
        <v>12</v>
      </c>
      <c r="B13" s="11" t="s">
        <v>119</v>
      </c>
      <c r="C13" s="12" t="s">
        <v>105</v>
      </c>
      <c r="D13" s="12" t="s">
        <v>120</v>
      </c>
      <c r="E13" s="11" t="s">
        <v>42</v>
      </c>
      <c r="F13" s="13" t="s">
        <v>121</v>
      </c>
      <c r="G13" s="13" t="s">
        <v>122</v>
      </c>
      <c r="H13" s="13" t="s">
        <v>123</v>
      </c>
      <c r="I13" s="13" t="s">
        <v>124</v>
      </c>
      <c r="J13" s="11" t="s">
        <v>47</v>
      </c>
      <c r="K13" s="9" t="s">
        <v>48</v>
      </c>
      <c r="L13" s="13" t="s">
        <v>125</v>
      </c>
      <c r="M13" s="14" t="str">
        <f>HYPERLINK("evidence_e2e\12_KDS_Approval_Tier1_Checkbox_Selected.png", "Lihat Evidence")</f>
        <v>Lihat Evidence</v>
      </c>
      <c r="N13" s="11" t="s">
        <v>5</v>
      </c>
      <c r="O13" s="11" t="s">
        <v>3</v>
      </c>
    </row>
    <row r="14" spans="1:15" ht="64.95" customHeight="1" x14ac:dyDescent="0.3">
      <c r="A14" s="6">
        <v>13</v>
      </c>
      <c r="B14" s="6" t="s">
        <v>126</v>
      </c>
      <c r="C14" s="7" t="s">
        <v>105</v>
      </c>
      <c r="D14" s="7" t="s">
        <v>127</v>
      </c>
      <c r="E14" s="6" t="s">
        <v>42</v>
      </c>
      <c r="F14" s="8" t="s">
        <v>128</v>
      </c>
      <c r="G14" s="8" t="s">
        <v>129</v>
      </c>
      <c r="H14" s="8" t="s">
        <v>130</v>
      </c>
      <c r="I14" s="8" t="s">
        <v>131</v>
      </c>
      <c r="J14" s="6" t="s">
        <v>56</v>
      </c>
      <c r="K14" s="9" t="s">
        <v>48</v>
      </c>
      <c r="L14" s="8" t="s">
        <v>132</v>
      </c>
      <c r="M14" s="10" t="str">
        <f>HYPERLINK("evidence_e2e\13_KDS_Approval_Tier1_Approved_Success.png", "Lihat Evidence")</f>
        <v>Lihat Evidence</v>
      </c>
      <c r="N14" s="6" t="s">
        <v>5</v>
      </c>
      <c r="O14" s="6" t="s">
        <v>3</v>
      </c>
    </row>
    <row r="15" spans="1:15" ht="64.95" customHeight="1" x14ac:dyDescent="0.3">
      <c r="A15" s="11">
        <v>14</v>
      </c>
      <c r="B15" s="11" t="s">
        <v>133</v>
      </c>
      <c r="C15" s="12" t="s">
        <v>105</v>
      </c>
      <c r="D15" s="12" t="s">
        <v>134</v>
      </c>
      <c r="E15" s="11" t="s">
        <v>42</v>
      </c>
      <c r="F15" s="13" t="s">
        <v>135</v>
      </c>
      <c r="G15" s="13" t="s">
        <v>136</v>
      </c>
      <c r="H15" s="13" t="s">
        <v>137</v>
      </c>
      <c r="I15" s="13" t="s">
        <v>138</v>
      </c>
      <c r="J15" s="11" t="s">
        <v>56</v>
      </c>
      <c r="K15" s="9" t="s">
        <v>48</v>
      </c>
      <c r="L15" s="13" t="s">
        <v>139</v>
      </c>
      <c r="M15" s="14" t="str">
        <f>HYPERLINK("evidence_e2e\14_KDS_Approval_Tier2_Inbox_Datatable.png", "Lihat Evidence")</f>
        <v>Lihat Evidence</v>
      </c>
      <c r="N15" s="11" t="s">
        <v>5</v>
      </c>
      <c r="O15" s="11" t="s">
        <v>3</v>
      </c>
    </row>
    <row r="16" spans="1:15" ht="64.95" customHeight="1" x14ac:dyDescent="0.3">
      <c r="A16" s="6">
        <v>15</v>
      </c>
      <c r="B16" s="6" t="s">
        <v>140</v>
      </c>
      <c r="C16" s="7" t="s">
        <v>105</v>
      </c>
      <c r="D16" s="7" t="s">
        <v>141</v>
      </c>
      <c r="E16" s="6" t="s">
        <v>42</v>
      </c>
      <c r="F16" s="8" t="s">
        <v>142</v>
      </c>
      <c r="G16" s="8" t="s">
        <v>143</v>
      </c>
      <c r="H16" s="8" t="s">
        <v>144</v>
      </c>
      <c r="I16" s="8" t="s">
        <v>145</v>
      </c>
      <c r="J16" s="6" t="s">
        <v>47</v>
      </c>
      <c r="K16" s="9" t="s">
        <v>48</v>
      </c>
      <c r="L16" s="8" t="s">
        <v>146</v>
      </c>
      <c r="M16" s="10" t="str">
        <f>HYPERLINK("evidence_e2e\15_KDS_Approval_Tier2_Checkbox_Selected.png", "Lihat Evidence")</f>
        <v>Lihat Evidence</v>
      </c>
      <c r="N16" s="6" t="s">
        <v>5</v>
      </c>
      <c r="O16" s="6" t="s">
        <v>3</v>
      </c>
    </row>
    <row r="17" spans="1:15" ht="64.95" customHeight="1" x14ac:dyDescent="0.3">
      <c r="A17" s="11">
        <v>16</v>
      </c>
      <c r="B17" s="11" t="s">
        <v>147</v>
      </c>
      <c r="C17" s="12" t="s">
        <v>105</v>
      </c>
      <c r="D17" s="12" t="s">
        <v>148</v>
      </c>
      <c r="E17" s="11" t="s">
        <v>42</v>
      </c>
      <c r="F17" s="13" t="s">
        <v>149</v>
      </c>
      <c r="G17" s="13" t="s">
        <v>150</v>
      </c>
      <c r="H17" s="13" t="s">
        <v>151</v>
      </c>
      <c r="I17" s="13" t="s">
        <v>152</v>
      </c>
      <c r="J17" s="11" t="s">
        <v>56</v>
      </c>
      <c r="K17" s="9" t="s">
        <v>48</v>
      </c>
      <c r="L17" s="13" t="s">
        <v>153</v>
      </c>
      <c r="M17" s="14" t="str">
        <f>HYPERLINK("evidence_e2e\16_KDS_Approval_Tier2_Approved_Success.png", "Lihat Evidence")</f>
        <v>Lihat Evidence</v>
      </c>
      <c r="N17" s="11" t="s">
        <v>5</v>
      </c>
      <c r="O17" s="11" t="s">
        <v>3</v>
      </c>
    </row>
    <row r="18" spans="1:15" ht="64.95" customHeight="1" x14ac:dyDescent="0.3">
      <c r="A18" s="6">
        <v>17</v>
      </c>
      <c r="B18" s="6" t="s">
        <v>154</v>
      </c>
      <c r="C18" s="7" t="s">
        <v>40</v>
      </c>
      <c r="D18" s="7" t="s">
        <v>155</v>
      </c>
      <c r="E18" s="6" t="s">
        <v>42</v>
      </c>
      <c r="F18" s="8" t="s">
        <v>156</v>
      </c>
      <c r="G18" s="8" t="s">
        <v>157</v>
      </c>
      <c r="H18" s="8" t="s">
        <v>158</v>
      </c>
      <c r="I18" s="8" t="s">
        <v>159</v>
      </c>
      <c r="J18" s="6" t="s">
        <v>56</v>
      </c>
      <c r="K18" s="9" t="s">
        <v>48</v>
      </c>
      <c r="L18" s="8" t="s">
        <v>160</v>
      </c>
      <c r="M18" s="10" t="str">
        <f>HYPERLINK("evidence_e2e\17_KDS_MKPP_Final_Approved_26.09_MKPP-MIM_0068.000.png", "Lihat Evidence")</f>
        <v>Lihat Evidence</v>
      </c>
      <c r="N18" s="6" t="s">
        <v>5</v>
      </c>
      <c r="O18" s="6" t="s">
        <v>3</v>
      </c>
    </row>
    <row r="19" spans="1:15" ht="64.95" customHeight="1" x14ac:dyDescent="0.3">
      <c r="A19" s="11">
        <v>18</v>
      </c>
      <c r="B19" s="11" t="s">
        <v>161</v>
      </c>
      <c r="C19" s="12" t="s">
        <v>162</v>
      </c>
      <c r="D19" s="12" t="s">
        <v>163</v>
      </c>
      <c r="E19" s="11" t="s">
        <v>42</v>
      </c>
      <c r="F19" s="13" t="s">
        <v>164</v>
      </c>
      <c r="G19" s="13" t="s">
        <v>165</v>
      </c>
      <c r="H19" s="13" t="s">
        <v>166</v>
      </c>
      <c r="I19" s="13" t="s">
        <v>167</v>
      </c>
      <c r="J19" s="11" t="s">
        <v>47</v>
      </c>
      <c r="K19" s="9" t="s">
        <v>48</v>
      </c>
      <c r="L19" s="13" t="s">
        <v>168</v>
      </c>
      <c r="M19" s="14" t="str">
        <f>HYPERLINK("evidence_e2e\18_PRM_BDO_Login_Dashboard.png", "Lihat Evidence")</f>
        <v>Lihat Evidence</v>
      </c>
      <c r="N19" s="11" t="s">
        <v>5</v>
      </c>
      <c r="O19" s="11" t="s">
        <v>3</v>
      </c>
    </row>
    <row r="20" spans="1:15" ht="64.95" customHeight="1" x14ac:dyDescent="0.3">
      <c r="A20" s="6">
        <v>19</v>
      </c>
      <c r="B20" s="6" t="s">
        <v>169</v>
      </c>
      <c r="C20" s="7" t="s">
        <v>162</v>
      </c>
      <c r="D20" s="7" t="s">
        <v>170</v>
      </c>
      <c r="E20" s="6" t="s">
        <v>42</v>
      </c>
      <c r="F20" s="8" t="s">
        <v>171</v>
      </c>
      <c r="G20" s="8" t="s">
        <v>172</v>
      </c>
      <c r="H20" s="8" t="s">
        <v>173</v>
      </c>
      <c r="I20" s="8" t="s">
        <v>174</v>
      </c>
      <c r="J20" s="6" t="s">
        <v>47</v>
      </c>
      <c r="K20" s="9" t="s">
        <v>48</v>
      </c>
      <c r="L20" s="8" t="s">
        <v>175</v>
      </c>
      <c r="M20" s="10" t="str">
        <f>HYPERLINK("evidence_e2e\19_PRM_BDO_Claim_Form_New.png", "Lihat Evidence")</f>
        <v>Lihat Evidence</v>
      </c>
      <c r="N20" s="6" t="s">
        <v>5</v>
      </c>
      <c r="O20" s="6" t="s">
        <v>3</v>
      </c>
    </row>
    <row r="21" spans="1:15" ht="64.95" customHeight="1" x14ac:dyDescent="0.3">
      <c r="A21" s="11">
        <v>20</v>
      </c>
      <c r="B21" s="11" t="s">
        <v>176</v>
      </c>
      <c r="C21" s="12" t="s">
        <v>162</v>
      </c>
      <c r="D21" s="12" t="s">
        <v>177</v>
      </c>
      <c r="E21" s="11" t="s">
        <v>42</v>
      </c>
      <c r="F21" s="13" t="s">
        <v>178</v>
      </c>
      <c r="G21" s="13" t="s">
        <v>179</v>
      </c>
      <c r="H21" s="13" t="s">
        <v>180</v>
      </c>
      <c r="I21" s="13" t="s">
        <v>181</v>
      </c>
      <c r="J21" s="11" t="s">
        <v>56</v>
      </c>
      <c r="K21" s="9" t="s">
        <v>48</v>
      </c>
      <c r="L21" s="13" t="s">
        <v>182</v>
      </c>
      <c r="M21" s="14" t="str">
        <f>HYPERLINK("evidence_e2e\20_PRM_BDO_LOV_MKPP_Datatable.png", "Lihat Evidence")</f>
        <v>Lihat Evidence</v>
      </c>
      <c r="N21" s="11" t="s">
        <v>5</v>
      </c>
      <c r="O21" s="11" t="s">
        <v>3</v>
      </c>
    </row>
    <row r="22" spans="1:15" ht="64.95" customHeight="1" x14ac:dyDescent="0.3">
      <c r="A22" s="6">
        <v>21</v>
      </c>
      <c r="B22" s="6" t="s">
        <v>183</v>
      </c>
      <c r="C22" s="7" t="s">
        <v>162</v>
      </c>
      <c r="D22" s="7" t="s">
        <v>184</v>
      </c>
      <c r="E22" s="6" t="s">
        <v>42</v>
      </c>
      <c r="F22" s="8" t="s">
        <v>185</v>
      </c>
      <c r="G22" s="8" t="s">
        <v>186</v>
      </c>
      <c r="H22" s="8" t="s">
        <v>187</v>
      </c>
      <c r="I22" s="8" t="s">
        <v>188</v>
      </c>
      <c r="J22" s="6" t="s">
        <v>56</v>
      </c>
      <c r="K22" s="9" t="s">
        <v>48</v>
      </c>
      <c r="L22" s="8" t="s">
        <v>189</v>
      </c>
      <c r="M22" s="10" t="str">
        <f>HYPERLINK("evidence_e2e\21_PRM_BDO_MKPP_Selected_Reserve.png", "Lihat Evidence")</f>
        <v>Lihat Evidence</v>
      </c>
      <c r="N22" s="6" t="s">
        <v>5</v>
      </c>
      <c r="O22" s="6" t="s">
        <v>3</v>
      </c>
    </row>
    <row r="23" spans="1:15" ht="64.95" customHeight="1" x14ac:dyDescent="0.3">
      <c r="A23" s="11">
        <v>22</v>
      </c>
      <c r="B23" s="11" t="s">
        <v>190</v>
      </c>
      <c r="C23" s="12" t="s">
        <v>162</v>
      </c>
      <c r="D23" s="12" t="s">
        <v>191</v>
      </c>
      <c r="E23" s="11" t="s">
        <v>42</v>
      </c>
      <c r="F23" s="13" t="s">
        <v>192</v>
      </c>
      <c r="G23" s="13" t="s">
        <v>193</v>
      </c>
      <c r="H23" s="13" t="s">
        <v>194</v>
      </c>
      <c r="I23" s="13" t="s">
        <v>195</v>
      </c>
      <c r="J23" s="11" t="s">
        <v>56</v>
      </c>
      <c r="K23" s="9" t="s">
        <v>48</v>
      </c>
      <c r="L23" s="13" t="s">
        <v>196</v>
      </c>
      <c r="M23" s="14" t="str">
        <f>HYPERLINK("evidence_e2e\22_PRM_BDO_LOV_Outlet_Datatable.png", "Lihat Evidence")</f>
        <v>Lihat Evidence</v>
      </c>
      <c r="N23" s="11" t="s">
        <v>5</v>
      </c>
      <c r="O23" s="11" t="s">
        <v>3</v>
      </c>
    </row>
    <row r="24" spans="1:15" ht="64.95" customHeight="1" x14ac:dyDescent="0.3">
      <c r="A24" s="6">
        <v>23</v>
      </c>
      <c r="B24" s="6" t="s">
        <v>197</v>
      </c>
      <c r="C24" s="7" t="s">
        <v>162</v>
      </c>
      <c r="D24" s="7" t="s">
        <v>198</v>
      </c>
      <c r="E24" s="6" t="s">
        <v>42</v>
      </c>
      <c r="F24" s="8" t="s">
        <v>199</v>
      </c>
      <c r="G24" s="8" t="s">
        <v>200</v>
      </c>
      <c r="H24" s="8" t="s">
        <v>201</v>
      </c>
      <c r="I24" s="8" t="s">
        <v>202</v>
      </c>
      <c r="J24" s="6" t="s">
        <v>56</v>
      </c>
      <c r="K24" s="9" t="s">
        <v>48</v>
      </c>
      <c r="L24" s="8" t="s">
        <v>203</v>
      </c>
      <c r="M24" s="10" t="str">
        <f>HYPERLINK("evidence_e2e\23_PRM_BDO_Claim_Row_Datatable_Filled.png", "Lihat Evidence")</f>
        <v>Lihat Evidence</v>
      </c>
      <c r="N24" s="6" t="s">
        <v>5</v>
      </c>
      <c r="O24" s="6" t="s">
        <v>3</v>
      </c>
    </row>
    <row r="25" spans="1:15" ht="64.95" customHeight="1" x14ac:dyDescent="0.3">
      <c r="A25" s="11">
        <v>24</v>
      </c>
      <c r="B25" s="11" t="s">
        <v>204</v>
      </c>
      <c r="C25" s="12" t="s">
        <v>162</v>
      </c>
      <c r="D25" s="12" t="s">
        <v>205</v>
      </c>
      <c r="E25" s="11" t="s">
        <v>42</v>
      </c>
      <c r="F25" s="13" t="s">
        <v>206</v>
      </c>
      <c r="G25" s="13" t="s">
        <v>207</v>
      </c>
      <c r="H25" s="13" t="s">
        <v>208</v>
      </c>
      <c r="I25" s="13" t="s">
        <v>209</v>
      </c>
      <c r="J25" s="11" t="s">
        <v>47</v>
      </c>
      <c r="K25" s="9" t="s">
        <v>48</v>
      </c>
      <c r="L25" s="13" t="s">
        <v>210</v>
      </c>
      <c r="M25" s="14" t="str">
        <f>HYPERLINK("evidence_e2e\24_PRM_BDO_Claim_Attachment_Uploaded.png", "Lihat Evidence")</f>
        <v>Lihat Evidence</v>
      </c>
      <c r="N25" s="11" t="s">
        <v>5</v>
      </c>
      <c r="O25" s="11" t="s">
        <v>3</v>
      </c>
    </row>
    <row r="26" spans="1:15" ht="64.95" customHeight="1" x14ac:dyDescent="0.3">
      <c r="A26" s="6">
        <v>25</v>
      </c>
      <c r="B26" s="6" t="s">
        <v>211</v>
      </c>
      <c r="C26" s="7" t="s">
        <v>162</v>
      </c>
      <c r="D26" s="7" t="s">
        <v>212</v>
      </c>
      <c r="E26" s="6" t="s">
        <v>42</v>
      </c>
      <c r="F26" s="8" t="s">
        <v>213</v>
      </c>
      <c r="G26" s="8" t="s">
        <v>214</v>
      </c>
      <c r="H26" s="8" t="s">
        <v>215</v>
      </c>
      <c r="I26" s="8" t="s">
        <v>216</v>
      </c>
      <c r="J26" s="6" t="s">
        <v>47</v>
      </c>
      <c r="K26" s="9" t="s">
        <v>48</v>
      </c>
      <c r="L26" s="8" t="s">
        <v>217</v>
      </c>
      <c r="M26" s="10" t="str">
        <f>HYPERLINK("evidence_e2e\25_PRM_BDO_Save_Confirmation_Dialog.png", "Lihat Evidence")</f>
        <v>Lihat Evidence</v>
      </c>
      <c r="N26" s="6" t="s">
        <v>5</v>
      </c>
      <c r="O26" s="6" t="s">
        <v>3</v>
      </c>
    </row>
    <row r="27" spans="1:15" ht="64.95" customHeight="1" x14ac:dyDescent="0.3">
      <c r="A27" s="11">
        <v>26</v>
      </c>
      <c r="B27" s="11" t="s">
        <v>218</v>
      </c>
      <c r="C27" s="12" t="s">
        <v>162</v>
      </c>
      <c r="D27" s="12" t="s">
        <v>219</v>
      </c>
      <c r="E27" s="11" t="s">
        <v>42</v>
      </c>
      <c r="F27" s="13" t="s">
        <v>220</v>
      </c>
      <c r="G27" s="13" t="s">
        <v>221</v>
      </c>
      <c r="H27" s="13" t="s">
        <v>222</v>
      </c>
      <c r="I27" s="13" t="s">
        <v>223</v>
      </c>
      <c r="J27" s="11" t="s">
        <v>56</v>
      </c>
      <c r="K27" s="9" t="s">
        <v>48</v>
      </c>
      <c r="L27" s="13" t="s">
        <v>224</v>
      </c>
      <c r="M27" s="14" t="str">
        <f>HYPERLINK("evidence_e2e\26_PRM_BDO_Claim_Saved_ID_5277_26.09_KLAIM-CSA_024.png", "Lihat Evidence")</f>
        <v>Lihat Evidence</v>
      </c>
      <c r="N27" s="11" t="s">
        <v>5</v>
      </c>
      <c r="O27" s="11" t="s">
        <v>3</v>
      </c>
    </row>
    <row r="28" spans="1:15" ht="64.95" customHeight="1" x14ac:dyDescent="0.3">
      <c r="A28" s="6">
        <v>27</v>
      </c>
      <c r="B28" s="6" t="s">
        <v>225</v>
      </c>
      <c r="C28" s="7" t="s">
        <v>162</v>
      </c>
      <c r="D28" s="7" t="s">
        <v>226</v>
      </c>
      <c r="E28" s="6" t="s">
        <v>42</v>
      </c>
      <c r="F28" s="8" t="s">
        <v>227</v>
      </c>
      <c r="G28" s="8" t="s">
        <v>228</v>
      </c>
      <c r="H28" s="8" t="s">
        <v>229</v>
      </c>
      <c r="I28" s="8" t="s">
        <v>167</v>
      </c>
      <c r="J28" s="6" t="s">
        <v>47</v>
      </c>
      <c r="K28" s="9" t="s">
        <v>48</v>
      </c>
      <c r="L28" s="8" t="s">
        <v>230</v>
      </c>
      <c r="M28" s="10" t="str">
        <f>HYPERLINK("evidence_e2e\27_PRM_JKT_Login_Dashboard.png", "Lihat Evidence")</f>
        <v>Lihat Evidence</v>
      </c>
      <c r="N28" s="6" t="s">
        <v>5</v>
      </c>
      <c r="O28" s="6" t="s">
        <v>3</v>
      </c>
    </row>
    <row r="29" spans="1:15" ht="64.95" customHeight="1" x14ac:dyDescent="0.3">
      <c r="A29" s="11">
        <v>28</v>
      </c>
      <c r="B29" s="11" t="s">
        <v>231</v>
      </c>
      <c r="C29" s="12" t="s">
        <v>162</v>
      </c>
      <c r="D29" s="12" t="s">
        <v>232</v>
      </c>
      <c r="E29" s="11" t="s">
        <v>42</v>
      </c>
      <c r="F29" s="13" t="s">
        <v>171</v>
      </c>
      <c r="G29" s="13" t="s">
        <v>172</v>
      </c>
      <c r="H29" s="13" t="s">
        <v>173</v>
      </c>
      <c r="I29" s="13" t="s">
        <v>174</v>
      </c>
      <c r="J29" s="11" t="s">
        <v>47</v>
      </c>
      <c r="K29" s="9" t="s">
        <v>48</v>
      </c>
      <c r="L29" s="13" t="s">
        <v>175</v>
      </c>
      <c r="M29" s="14" t="str">
        <f>HYPERLINK("evidence_e2e\28_PRM_JKT_Claim_Form_New.png", "Lihat Evidence")</f>
        <v>Lihat Evidence</v>
      </c>
      <c r="N29" s="11" t="s">
        <v>5</v>
      </c>
      <c r="O29" s="11" t="s">
        <v>3</v>
      </c>
    </row>
    <row r="30" spans="1:15" ht="64.95" customHeight="1" x14ac:dyDescent="0.3">
      <c r="A30" s="6">
        <v>29</v>
      </c>
      <c r="B30" s="6" t="s">
        <v>233</v>
      </c>
      <c r="C30" s="7" t="s">
        <v>162</v>
      </c>
      <c r="D30" s="7" t="s">
        <v>234</v>
      </c>
      <c r="E30" s="6" t="s">
        <v>42</v>
      </c>
      <c r="F30" s="8" t="s">
        <v>178</v>
      </c>
      <c r="G30" s="8" t="s">
        <v>179</v>
      </c>
      <c r="H30" s="8" t="s">
        <v>180</v>
      </c>
      <c r="I30" s="8" t="s">
        <v>181</v>
      </c>
      <c r="J30" s="6" t="s">
        <v>56</v>
      </c>
      <c r="K30" s="9" t="s">
        <v>48</v>
      </c>
      <c r="L30" s="8" t="s">
        <v>182</v>
      </c>
      <c r="M30" s="10" t="str">
        <f>HYPERLINK("evidence_e2e\29_PRM_JKT_LOV_MKPP_Datatable.png", "Lihat Evidence")</f>
        <v>Lihat Evidence</v>
      </c>
      <c r="N30" s="6" t="s">
        <v>5</v>
      </c>
      <c r="O30" s="6" t="s">
        <v>3</v>
      </c>
    </row>
    <row r="31" spans="1:15" ht="64.95" customHeight="1" x14ac:dyDescent="0.3">
      <c r="A31" s="11">
        <v>30</v>
      </c>
      <c r="B31" s="11" t="s">
        <v>235</v>
      </c>
      <c r="C31" s="12" t="s">
        <v>162</v>
      </c>
      <c r="D31" s="12" t="s">
        <v>236</v>
      </c>
      <c r="E31" s="11" t="s">
        <v>42</v>
      </c>
      <c r="F31" s="13" t="s">
        <v>185</v>
      </c>
      <c r="G31" s="13" t="s">
        <v>186</v>
      </c>
      <c r="H31" s="13" t="s">
        <v>187</v>
      </c>
      <c r="I31" s="13" t="s">
        <v>188</v>
      </c>
      <c r="J31" s="11" t="s">
        <v>56</v>
      </c>
      <c r="K31" s="9" t="s">
        <v>48</v>
      </c>
      <c r="L31" s="13" t="s">
        <v>189</v>
      </c>
      <c r="M31" s="14" t="str">
        <f>HYPERLINK("evidence_e2e\30_PRM_JKT_MKPP_Selected_Reserve.png", "Lihat Evidence")</f>
        <v>Lihat Evidence</v>
      </c>
      <c r="N31" s="11" t="s">
        <v>5</v>
      </c>
      <c r="O31" s="11" t="s">
        <v>3</v>
      </c>
    </row>
    <row r="32" spans="1:15" ht="64.95" customHeight="1" x14ac:dyDescent="0.3">
      <c r="A32" s="6">
        <v>31</v>
      </c>
      <c r="B32" s="6" t="s">
        <v>237</v>
      </c>
      <c r="C32" s="7" t="s">
        <v>162</v>
      </c>
      <c r="D32" s="7" t="s">
        <v>238</v>
      </c>
      <c r="E32" s="6" t="s">
        <v>42</v>
      </c>
      <c r="F32" s="8" t="s">
        <v>239</v>
      </c>
      <c r="G32" s="8" t="s">
        <v>193</v>
      </c>
      <c r="H32" s="8" t="s">
        <v>194</v>
      </c>
      <c r="I32" s="8" t="s">
        <v>195</v>
      </c>
      <c r="J32" s="6" t="s">
        <v>56</v>
      </c>
      <c r="K32" s="9" t="s">
        <v>48</v>
      </c>
      <c r="L32" s="8" t="s">
        <v>240</v>
      </c>
      <c r="M32" s="10" t="str">
        <f>HYPERLINK("evidence_e2e\31_PRM_JKT_LOV_Outlet_Datatable.png", "Lihat Evidence")</f>
        <v>Lihat Evidence</v>
      </c>
      <c r="N32" s="6" t="s">
        <v>5</v>
      </c>
      <c r="O32" s="6" t="s">
        <v>3</v>
      </c>
    </row>
    <row r="33" spans="1:15" ht="64.95" customHeight="1" x14ac:dyDescent="0.3">
      <c r="A33" s="11">
        <v>32</v>
      </c>
      <c r="B33" s="11" t="s">
        <v>241</v>
      </c>
      <c r="C33" s="12" t="s">
        <v>162</v>
      </c>
      <c r="D33" s="12" t="s">
        <v>242</v>
      </c>
      <c r="E33" s="11" t="s">
        <v>42</v>
      </c>
      <c r="F33" s="13" t="s">
        <v>243</v>
      </c>
      <c r="G33" s="13" t="s">
        <v>200</v>
      </c>
      <c r="H33" s="13" t="s">
        <v>201</v>
      </c>
      <c r="I33" s="13" t="s">
        <v>202</v>
      </c>
      <c r="J33" s="11" t="s">
        <v>56</v>
      </c>
      <c r="K33" s="9" t="s">
        <v>48</v>
      </c>
      <c r="L33" s="13" t="s">
        <v>244</v>
      </c>
      <c r="M33" s="14" t="str">
        <f>HYPERLINK("evidence_e2e\32_PRM_JKT_Claim_Row_Datatable_Filled.png", "Lihat Evidence")</f>
        <v>Lihat Evidence</v>
      </c>
      <c r="N33" s="11" t="s">
        <v>5</v>
      </c>
      <c r="O33" s="11" t="s">
        <v>3</v>
      </c>
    </row>
    <row r="34" spans="1:15" ht="64.95" customHeight="1" x14ac:dyDescent="0.3">
      <c r="A34" s="6">
        <v>33</v>
      </c>
      <c r="B34" s="6" t="s">
        <v>245</v>
      </c>
      <c r="C34" s="7" t="s">
        <v>162</v>
      </c>
      <c r="D34" s="7" t="s">
        <v>246</v>
      </c>
      <c r="E34" s="6" t="s">
        <v>42</v>
      </c>
      <c r="F34" s="8" t="s">
        <v>206</v>
      </c>
      <c r="G34" s="8" t="s">
        <v>207</v>
      </c>
      <c r="H34" s="8" t="s">
        <v>208</v>
      </c>
      <c r="I34" s="8" t="s">
        <v>209</v>
      </c>
      <c r="J34" s="6" t="s">
        <v>47</v>
      </c>
      <c r="K34" s="9" t="s">
        <v>48</v>
      </c>
      <c r="L34" s="8" t="s">
        <v>210</v>
      </c>
      <c r="M34" s="10" t="str">
        <f>HYPERLINK("evidence_e2e\33_PRM_JKT_Claim_Attachment_Uploaded.png", "Lihat Evidence")</f>
        <v>Lihat Evidence</v>
      </c>
      <c r="N34" s="6" t="s">
        <v>5</v>
      </c>
      <c r="O34" s="6" t="s">
        <v>3</v>
      </c>
    </row>
    <row r="35" spans="1:15" ht="64.95" customHeight="1" x14ac:dyDescent="0.3">
      <c r="A35" s="11">
        <v>34</v>
      </c>
      <c r="B35" s="11" t="s">
        <v>247</v>
      </c>
      <c r="C35" s="12" t="s">
        <v>162</v>
      </c>
      <c r="D35" s="12" t="s">
        <v>248</v>
      </c>
      <c r="E35" s="11" t="s">
        <v>42</v>
      </c>
      <c r="F35" s="13" t="s">
        <v>213</v>
      </c>
      <c r="G35" s="13" t="s">
        <v>214</v>
      </c>
      <c r="H35" s="13" t="s">
        <v>215</v>
      </c>
      <c r="I35" s="13" t="s">
        <v>216</v>
      </c>
      <c r="J35" s="11" t="s">
        <v>47</v>
      </c>
      <c r="K35" s="9" t="s">
        <v>48</v>
      </c>
      <c r="L35" s="13" t="s">
        <v>217</v>
      </c>
      <c r="M35" s="14" t="str">
        <f>HYPERLINK("evidence_e2e\34_PRM_JKT_Save_Confirmation_Dialog.png", "Lihat Evidence")</f>
        <v>Lihat Evidence</v>
      </c>
      <c r="N35" s="11" t="s">
        <v>5</v>
      </c>
      <c r="O35" s="11" t="s">
        <v>3</v>
      </c>
    </row>
    <row r="36" spans="1:15" ht="64.95" customHeight="1" x14ac:dyDescent="0.3">
      <c r="A36" s="6">
        <v>35</v>
      </c>
      <c r="B36" s="6" t="s">
        <v>249</v>
      </c>
      <c r="C36" s="7" t="s">
        <v>162</v>
      </c>
      <c r="D36" s="7" t="s">
        <v>250</v>
      </c>
      <c r="E36" s="6" t="s">
        <v>42</v>
      </c>
      <c r="F36" s="8" t="s">
        <v>251</v>
      </c>
      <c r="G36" s="8" t="s">
        <v>221</v>
      </c>
      <c r="H36" s="8" t="s">
        <v>252</v>
      </c>
      <c r="I36" s="8" t="s">
        <v>223</v>
      </c>
      <c r="J36" s="6" t="s">
        <v>56</v>
      </c>
      <c r="K36" s="9" t="s">
        <v>48</v>
      </c>
      <c r="L36" s="8" t="s">
        <v>253</v>
      </c>
      <c r="M36" s="10" t="str">
        <f>HYPERLINK("evidence_e2e\35_PRM_JKT_Claim_Saved_ID_5278_26.09_KLAIM-CSA_025.png", "Lihat Evidence")</f>
        <v>Lihat Evidence</v>
      </c>
      <c r="N36" s="6" t="s">
        <v>5</v>
      </c>
      <c r="O36" s="6" t="s">
        <v>3</v>
      </c>
    </row>
    <row r="37" spans="1:15" ht="64.95" customHeight="1" x14ac:dyDescent="0.3">
      <c r="A37" s="11">
        <v>36</v>
      </c>
      <c r="B37" s="11" t="s">
        <v>254</v>
      </c>
      <c r="C37" s="12" t="s">
        <v>255</v>
      </c>
      <c r="D37" s="12" t="s">
        <v>256</v>
      </c>
      <c r="E37" s="11" t="s">
        <v>42</v>
      </c>
      <c r="F37" s="13" t="s">
        <v>257</v>
      </c>
      <c r="G37" s="13" t="s">
        <v>258</v>
      </c>
      <c r="H37" s="13" t="s">
        <v>259</v>
      </c>
      <c r="I37" s="13" t="s">
        <v>260</v>
      </c>
      <c r="J37" s="11" t="s">
        <v>47</v>
      </c>
      <c r="K37" s="9" t="s">
        <v>48</v>
      </c>
      <c r="L37" s="13" t="s">
        <v>261</v>
      </c>
      <c r="M37" s="14" t="str">
        <f>HYPERLINK("evidence_e2e\36_KDS_ABM_BDO_Claim_Review.png", "Lihat Evidence")</f>
        <v>Lihat Evidence</v>
      </c>
      <c r="N37" s="11" t="s">
        <v>5</v>
      </c>
      <c r="O37" s="11" t="s">
        <v>3</v>
      </c>
    </row>
    <row r="38" spans="1:15" ht="64.95" customHeight="1" x14ac:dyDescent="0.3">
      <c r="A38" s="6">
        <v>37</v>
      </c>
      <c r="B38" s="6" t="s">
        <v>262</v>
      </c>
      <c r="C38" s="7" t="s">
        <v>255</v>
      </c>
      <c r="D38" s="7" t="s">
        <v>263</v>
      </c>
      <c r="E38" s="6" t="s">
        <v>42</v>
      </c>
      <c r="F38" s="8" t="s">
        <v>264</v>
      </c>
      <c r="G38" s="8" t="s">
        <v>265</v>
      </c>
      <c r="H38" s="8" t="s">
        <v>266</v>
      </c>
      <c r="I38" s="8" t="s">
        <v>267</v>
      </c>
      <c r="J38" s="6" t="s">
        <v>56</v>
      </c>
      <c r="K38" s="9" t="s">
        <v>48</v>
      </c>
      <c r="L38" s="8" t="s">
        <v>268</v>
      </c>
      <c r="M38" s="10" t="str">
        <f>HYPERLINK("evidence_e2e\37_KDS_ABM_BDO_ReadySubmit_YES.png", "Lihat Evidence")</f>
        <v>Lihat Evidence</v>
      </c>
      <c r="N38" s="6" t="s">
        <v>5</v>
      </c>
      <c r="O38" s="6" t="s">
        <v>3</v>
      </c>
    </row>
    <row r="39" spans="1:15" ht="64.95" customHeight="1" x14ac:dyDescent="0.3">
      <c r="A39" s="11">
        <v>38</v>
      </c>
      <c r="B39" s="11" t="s">
        <v>269</v>
      </c>
      <c r="C39" s="12" t="s">
        <v>255</v>
      </c>
      <c r="D39" s="12" t="s">
        <v>270</v>
      </c>
      <c r="E39" s="11" t="s">
        <v>42</v>
      </c>
      <c r="F39" s="13" t="s">
        <v>271</v>
      </c>
      <c r="G39" s="13" t="s">
        <v>258</v>
      </c>
      <c r="H39" s="13" t="s">
        <v>272</v>
      </c>
      <c r="I39" s="13" t="s">
        <v>260</v>
      </c>
      <c r="J39" s="11" t="s">
        <v>47</v>
      </c>
      <c r="K39" s="9" t="s">
        <v>48</v>
      </c>
      <c r="L39" s="13" t="s">
        <v>273</v>
      </c>
      <c r="M39" s="14" t="str">
        <f>HYPERLINK("evidence_e2e\38_KDS_ABM_JKT_Claim_Review.png", "Lihat Evidence")</f>
        <v>Lihat Evidence</v>
      </c>
      <c r="N39" s="11" t="s">
        <v>5</v>
      </c>
      <c r="O39" s="11" t="s">
        <v>3</v>
      </c>
    </row>
    <row r="40" spans="1:15" ht="64.95" customHeight="1" x14ac:dyDescent="0.3">
      <c r="A40" s="6">
        <v>39</v>
      </c>
      <c r="B40" s="6" t="s">
        <v>274</v>
      </c>
      <c r="C40" s="7" t="s">
        <v>255</v>
      </c>
      <c r="D40" s="7" t="s">
        <v>275</v>
      </c>
      <c r="E40" s="6" t="s">
        <v>42</v>
      </c>
      <c r="F40" s="8" t="s">
        <v>276</v>
      </c>
      <c r="G40" s="8" t="s">
        <v>265</v>
      </c>
      <c r="H40" s="8" t="s">
        <v>266</v>
      </c>
      <c r="I40" s="8" t="s">
        <v>267</v>
      </c>
      <c r="J40" s="6" t="s">
        <v>56</v>
      </c>
      <c r="K40" s="9" t="s">
        <v>48</v>
      </c>
      <c r="L40" s="8" t="s">
        <v>277</v>
      </c>
      <c r="M40" s="10" t="str">
        <f>HYPERLINK("evidence_e2e\39_KDS_ABM_JKT_ReadySubmit_YES.png", "Lihat Evidence")</f>
        <v>Lihat Evidence</v>
      </c>
      <c r="N40" s="6" t="s">
        <v>5</v>
      </c>
      <c r="O40" s="6" t="s">
        <v>3</v>
      </c>
    </row>
    <row r="41" spans="1:15" ht="64.95" customHeight="1" x14ac:dyDescent="0.3">
      <c r="A41" s="11">
        <v>40</v>
      </c>
      <c r="B41" s="11" t="s">
        <v>278</v>
      </c>
      <c r="C41" s="12" t="s">
        <v>279</v>
      </c>
      <c r="D41" s="12" t="s">
        <v>280</v>
      </c>
      <c r="E41" s="11" t="s">
        <v>42</v>
      </c>
      <c r="F41" s="13" t="s">
        <v>281</v>
      </c>
      <c r="G41" s="13" t="s">
        <v>282</v>
      </c>
      <c r="H41" s="13" t="s">
        <v>283</v>
      </c>
      <c r="I41" s="13" t="s">
        <v>284</v>
      </c>
      <c r="J41" s="11" t="s">
        <v>47</v>
      </c>
      <c r="K41" s="9" t="s">
        <v>48</v>
      </c>
      <c r="L41" s="13" t="s">
        <v>285</v>
      </c>
      <c r="M41" s="14" t="str">
        <f>HYPERLINK("evidence_e2e\40_KDS_Muslih_BDO_Submit_Confirmation.png", "Lihat Evidence")</f>
        <v>Lihat Evidence</v>
      </c>
      <c r="N41" s="11" t="s">
        <v>5</v>
      </c>
      <c r="O41" s="11" t="s">
        <v>3</v>
      </c>
    </row>
    <row r="42" spans="1:15" ht="64.95" customHeight="1" x14ac:dyDescent="0.3">
      <c r="A42" s="6">
        <v>41</v>
      </c>
      <c r="B42" s="6" t="s">
        <v>286</v>
      </c>
      <c r="C42" s="7" t="s">
        <v>287</v>
      </c>
      <c r="D42" s="7" t="s">
        <v>288</v>
      </c>
      <c r="E42" s="6" t="s">
        <v>42</v>
      </c>
      <c r="F42" s="8" t="s">
        <v>289</v>
      </c>
      <c r="G42" s="8" t="s">
        <v>290</v>
      </c>
      <c r="H42" s="8" t="s">
        <v>291</v>
      </c>
      <c r="I42" s="8" t="s">
        <v>292</v>
      </c>
      <c r="J42" s="6" t="s">
        <v>56</v>
      </c>
      <c r="K42" s="9" t="s">
        <v>48</v>
      </c>
      <c r="L42" s="8" t="s">
        <v>293</v>
      </c>
      <c r="M42" s="10" t="str">
        <f>HYPERLINK("evidence_e2e\41_KDS_Muslih_BDO_Final_APPROVED.png", "Lihat Evidence")</f>
        <v>Lihat Evidence</v>
      </c>
      <c r="N42" s="6" t="s">
        <v>5</v>
      </c>
      <c r="O42" s="6" t="s">
        <v>3</v>
      </c>
    </row>
    <row r="43" spans="1:15" ht="64.95" customHeight="1" x14ac:dyDescent="0.3">
      <c r="A43" s="11">
        <v>42</v>
      </c>
      <c r="B43" s="11" t="s">
        <v>294</v>
      </c>
      <c r="C43" s="12" t="s">
        <v>279</v>
      </c>
      <c r="D43" s="12" t="s">
        <v>295</v>
      </c>
      <c r="E43" s="11" t="s">
        <v>42</v>
      </c>
      <c r="F43" s="13" t="s">
        <v>296</v>
      </c>
      <c r="G43" s="13" t="s">
        <v>282</v>
      </c>
      <c r="H43" s="13" t="s">
        <v>283</v>
      </c>
      <c r="I43" s="13" t="s">
        <v>284</v>
      </c>
      <c r="J43" s="11" t="s">
        <v>47</v>
      </c>
      <c r="K43" s="9" t="s">
        <v>48</v>
      </c>
      <c r="L43" s="13" t="s">
        <v>297</v>
      </c>
      <c r="M43" s="14" t="str">
        <f>HYPERLINK("evidence_e2e\42_KDS_Muslih_JKT_Submit_Confirmation.png", "Lihat Evidence")</f>
        <v>Lihat Evidence</v>
      </c>
      <c r="N43" s="11" t="s">
        <v>5</v>
      </c>
      <c r="O43" s="11" t="s">
        <v>3</v>
      </c>
    </row>
    <row r="44" spans="1:15" ht="64.95" customHeight="1" x14ac:dyDescent="0.3">
      <c r="A44" s="6">
        <v>43</v>
      </c>
      <c r="B44" s="6" t="s">
        <v>298</v>
      </c>
      <c r="C44" s="7" t="s">
        <v>287</v>
      </c>
      <c r="D44" s="7" t="s">
        <v>299</v>
      </c>
      <c r="E44" s="6" t="s">
        <v>42</v>
      </c>
      <c r="F44" s="8" t="s">
        <v>300</v>
      </c>
      <c r="G44" s="8" t="s">
        <v>290</v>
      </c>
      <c r="H44" s="8" t="s">
        <v>291</v>
      </c>
      <c r="I44" s="8" t="s">
        <v>292</v>
      </c>
      <c r="J44" s="6" t="s">
        <v>56</v>
      </c>
      <c r="K44" s="9" t="s">
        <v>48</v>
      </c>
      <c r="L44" s="8" t="s">
        <v>301</v>
      </c>
      <c r="M44" s="10" t="str">
        <f>HYPERLINK("evidence_e2e\43_KDS_Muslih_JKT_Final_APPROVED.png", "Lihat Evidence")</f>
        <v>Lihat Evidence</v>
      </c>
      <c r="N44" s="6" t="s">
        <v>5</v>
      </c>
      <c r="O44" s="6" t="s">
        <v>3</v>
      </c>
    </row>
  </sheetData>
  <hyperlinks>
    <hyperlink ref="M2" r:id="rId1" display="evidence_e2e\01_MKPP_Dashboard_Initial.png"/>
    <hyperlink ref="M3" r:id="rId2" display="evidence_e2e/02_MKPP_LOV_Group_Datatable.png"/>
    <hyperlink ref="M4" r:id="rId3" display="evidence_e2e/03_MKPP_LOV_Subdist_BDO_Datatable.png"/>
    <hyperlink ref="M5" r:id="rId4" display="evidence_e2e/04_MKPP_SKP_Modal_BDO_3NestedRows.png"/>
    <hyperlink ref="M6" r:id="rId5" display="evidence_e2e/05_MKPP_LOV_Subdist_JKT_Datatable.png"/>
    <hyperlink ref="M7" r:id="rId6" display="evidence_e2e/06_MKPP_SKP_Modal_JKT_3NestedRows.png"/>
    <hyperlink ref="M8" r:id="rId7" display="evidence_e2e/07_MKPP_Full_Form_Filled.png"/>
    <hyperlink ref="M9" r:id="rId8" display="evidence_e2e/08_MKPP_Submit_Confirmation.png"/>
    <hyperlink ref="M10" r:id="rId9" display="evidence_e2e/09_MKPP_Success_DocNo_26.09_MKPP-MIM_0068.000.png"/>
    <hyperlink ref="M11" r:id="rId10" display="evidence_e2e/10_KDS_Approval_Tier1_Inbox_Datatable.png"/>
    <hyperlink ref="M12" r:id="rId11" display="evidence_e2e/11_KDS_Approval_Tier1_Detail_Review.png"/>
    <hyperlink ref="M13" r:id="rId12" display="evidence_e2e/12_KDS_Approval_Tier1_Checkbox_Selected.png"/>
    <hyperlink ref="M14" r:id="rId13" display="evidence_e2e/13_KDS_Approval_Tier1_Approved_Success.png"/>
    <hyperlink ref="M15" r:id="rId14" display="evidence_e2e/14_KDS_Approval_Tier2_Inbox_Datatable.png"/>
    <hyperlink ref="M16" r:id="rId15" display="evidence_e2e/15_KDS_Approval_Tier2_Checkbox_Selected.png"/>
    <hyperlink ref="M17" r:id="rId16" display="evidence_e2e/16_KDS_Approval_Tier2_Approved_Success.png"/>
    <hyperlink ref="M18" r:id="rId17" display="evidence_e2e/17_KDS_MKPP_Final_Approved_26.09_MKPP-MIM_0068.000.png"/>
    <hyperlink ref="M19" r:id="rId18" display="evidence_e2e/18_PRM_BDO_Login_Dashboard.png"/>
    <hyperlink ref="M20" r:id="rId19" display="evidence_e2e/19_PRM_BDO_Claim_Form_New.png"/>
    <hyperlink ref="M21" r:id="rId20" display="evidence_e2e/20_PRM_BDO_LOV_MKPP_Datatable.png"/>
    <hyperlink ref="M22" r:id="rId21" display="evidence_e2e/21_PRM_BDO_MKPP_Selected_Reserve.png"/>
    <hyperlink ref="M23" r:id="rId22" display="evidence_e2e/22_PRM_BDO_LOV_Outlet_Datatable.png"/>
    <hyperlink ref="M24" r:id="rId23" display="evidence_e2e/23_PRM_BDO_Claim_Row_Datatable_Filled.png"/>
    <hyperlink ref="M25" r:id="rId24" display="evidence_e2e/24_PRM_BDO_Claim_Attachment_Uploaded.png"/>
    <hyperlink ref="M26" r:id="rId25" display="evidence_e2e/25_PRM_BDO_Save_Confirmation_Dialog.png"/>
    <hyperlink ref="M27" r:id="rId26" display="evidence_e2e/26_PRM_BDO_Claim_Saved_ID_5277_26.09_KLAIM-CSA_024.png"/>
    <hyperlink ref="M28" r:id="rId27" display="evidence_e2e/27_PRM_JKT_Login_Dashboard.png"/>
    <hyperlink ref="M29" r:id="rId28" display="evidence_e2e/28_PRM_JKT_Claim_Form_New.png"/>
    <hyperlink ref="M30" r:id="rId29" display="evidence_e2e/29_PRM_JKT_LOV_MKPP_Datatable.png"/>
    <hyperlink ref="M31" r:id="rId30" display="evidence_e2e/30_PRM_JKT_MKPP_Selected_Reserve.png"/>
    <hyperlink ref="M32" r:id="rId31" display="evidence_e2e/31_PRM_JKT_LOV_Outlet_Datatable.png"/>
    <hyperlink ref="M33" r:id="rId32" display="evidence_e2e/32_PRM_JKT_Claim_Row_Datatable_Filled.png"/>
    <hyperlink ref="M34" r:id="rId33" display="evidence_e2e/33_PRM_JKT_Claim_Attachment_Uploaded.png"/>
    <hyperlink ref="M35" r:id="rId34" display="evidence_e2e/34_PRM_JKT_Save_Confirmation_Dialog.png"/>
    <hyperlink ref="M36" r:id="rId35" display="evidence_e2e/35_PRM_JKT_Claim_Saved_ID_5278_26.09_KLAIM-CSA_025.png"/>
    <hyperlink ref="M37" r:id="rId36" display="evidence_e2e/36_KDS_ABM_BDO_Claim_Review.png"/>
    <hyperlink ref="M38" r:id="rId37" display="evidence_e2e/37_KDS_ABM_BDO_ReadySubmit_YES.png"/>
    <hyperlink ref="M39" r:id="rId38" display="evidence_e2e/38_KDS_ABM_JKT_Claim_Review.png"/>
    <hyperlink ref="M40" r:id="rId39" display="evidence_e2e/39_KDS_ABM_JKT_ReadySubmit_YES.png"/>
    <hyperlink ref="M41" r:id="rId40" display="evidence_e2e/40_KDS_Muslih_BDO_Submit_Confirmation.png"/>
    <hyperlink ref="M42" r:id="rId41" display="evidence_e2e/41_KDS_Muslih_BDO_Final_APPROVED.png"/>
    <hyperlink ref="M43" r:id="rId42" display="evidence_e2e/42_KDS_Muslih_JKT_Submit_Confirmation.png"/>
    <hyperlink ref="M44" r:id="rId43" display="evidence_e2e/43_KDS_Muslih_JKT_Final_APPROVED.png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E2E Test Cases &amp;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2026-09-15T22:55:08Z</dcterms:created>
  <dcterms:modified xsi:type="dcterms:W3CDTF">2026-09-17T04:18:23Z</dcterms:modified>
</cp:coreProperties>
</file>