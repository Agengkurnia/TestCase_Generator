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2E Test Cases &amp;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374151"/>
      <sz val="10"/>
    </font>
    <font>
      <name val="Calibri"/>
      <b val="1"/>
      <color rgb="001F293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1E40AF"/>
      <sz val="9"/>
      <u val="single"/>
    </font>
    <font>
      <name val="Calibri"/>
      <color rgb="00111827"/>
      <sz val="9"/>
    </font>
    <font>
      <name val="Calibri"/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E7D37"/>
        <bgColor rgb="001E7D3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_2026_09_30_17-14-26/01_MKPP_Dashboard_Initial.png" TargetMode="External" Id="rId1"/><Relationship Type="http://schemas.openxmlformats.org/officeDocument/2006/relationships/hyperlink" Target="evidence_2026_09_30_17-14-26/02_MKPP_LOV_Group_Datatable.png" TargetMode="External" Id="rId2"/><Relationship Type="http://schemas.openxmlformats.org/officeDocument/2006/relationships/hyperlink" Target="evidence_2026_09_30_17-14-26/03_MKPP_LOV_Subdist_BDO_Datatable.png" TargetMode="External" Id="rId3"/><Relationship Type="http://schemas.openxmlformats.org/officeDocument/2006/relationships/hyperlink" Target="evidence_2026_09_30_17-14-26/04_MKPP_SKP_Modal_BDO_3NestedRows.png" TargetMode="External" Id="rId4"/><Relationship Type="http://schemas.openxmlformats.org/officeDocument/2006/relationships/hyperlink" Target="evidence_2026_09_30_17-14-26/05_MKPP_LOV_Subdist_JKT_Datatable.png" TargetMode="External" Id="rId5"/><Relationship Type="http://schemas.openxmlformats.org/officeDocument/2006/relationships/hyperlink" Target="evidence_2026_09_30_17-14-26/06_MKPP_SKP_Modal_JKT_3NestedRows.png" TargetMode="External" Id="rId6"/><Relationship Type="http://schemas.openxmlformats.org/officeDocument/2006/relationships/hyperlink" Target="evidence_2026_09_30_17-14-26/07_MKPP_Full_Form_Filled.png" TargetMode="External" Id="rId7"/><Relationship Type="http://schemas.openxmlformats.org/officeDocument/2006/relationships/hyperlink" Target="evidence_2026_09_30_17-14-26/08_MKPP_Submit_Confirmation.png" TargetMode="External" Id="rId8"/><Relationship Type="http://schemas.openxmlformats.org/officeDocument/2006/relationships/hyperlink" Target="evidence_2026_09_30_17-14-26/09_MKPP_Success_DocNo_26.09_MKPP-MIM_0070.000.png" TargetMode="External" Id="rId9"/><Relationship Type="http://schemas.openxmlformats.org/officeDocument/2006/relationships/hyperlink" Target="evidence_2026_09_30_17-14-26/10_KDS_Approval_Tier1_Inbox_Datatable.png" TargetMode="External" Id="rId10"/><Relationship Type="http://schemas.openxmlformats.org/officeDocument/2006/relationships/hyperlink" Target="evidence_2026_09_30_17-14-26/11_KDS_Approval_Tier1_Detail_Review.png" TargetMode="External" Id="rId11"/><Relationship Type="http://schemas.openxmlformats.org/officeDocument/2006/relationships/hyperlink" Target="evidence_2026_09_30_17-14-26/12_KDS_Approval_Tier1_Checkbox_Selected.png" TargetMode="External" Id="rId12"/><Relationship Type="http://schemas.openxmlformats.org/officeDocument/2006/relationships/hyperlink" Target="evidence_2026_09_30_17-14-26/13_KDS_Approval_Tier1_Approved_Success.png" TargetMode="External" Id="rId13"/><Relationship Type="http://schemas.openxmlformats.org/officeDocument/2006/relationships/hyperlink" Target="evidence_2026_09_30_17-14-26/14_KDS_Approval_Tier2_Inbox_Datatable.png" TargetMode="External" Id="rId14"/><Relationship Type="http://schemas.openxmlformats.org/officeDocument/2006/relationships/hyperlink" Target="evidence_2026_09_30_17-33-11/17_MKPP_Status_APPROVED.png" TargetMode="External" Id="rId15"/><Relationship Type="http://schemas.openxmlformats.org/officeDocument/2006/relationships/hyperlink" Target="evidence_2026_09_30_17-33-11/18_PRM_BDO_Login_Dashboard.png" TargetMode="External" Id="rId16"/><Relationship Type="http://schemas.openxmlformats.org/officeDocument/2006/relationships/hyperlink" Target="evidence_2026_09_30_17-33-11/19_PRM_BDO_Claim_Form_New.png" TargetMode="External" Id="rId17"/><Relationship Type="http://schemas.openxmlformats.org/officeDocument/2006/relationships/hyperlink" Target="evidence_2026_09_30_17-33-11/20_PRM_BDO_LOV_MKPP_Datatable.png" TargetMode="External" Id="rId18"/><Relationship Type="http://schemas.openxmlformats.org/officeDocument/2006/relationships/hyperlink" Target="evidence_2026_09_30_17-33-11/21_PRM_BDO_MKPP_Selected_Reserve.png" TargetMode="External" Id="rId19"/><Relationship Type="http://schemas.openxmlformats.org/officeDocument/2006/relationships/hyperlink" Target="evidence_2026_09_30_17-33-11/Error_E2E.png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LAPORAN PENGUJIAN END-TO-END (E2E) DEVELOPMENT FUND (DF)</t>
        </is>
      </c>
    </row>
    <row r="2">
      <c r="A2" s="2" t="inlineStr">
        <is>
          <t>Siklus Lengkap: Pengajuan MKPP Multi-Outlet -&gt; Approval KDS -&gt; Pengajuan Klaim PRM -&gt; Verifikasi ABM -&gt; Final Approve</t>
        </is>
      </c>
    </row>
    <row r="4">
      <c r="A4" s="3" t="inlineStr">
        <is>
          <t>Tanggal Eksekusi</t>
        </is>
      </c>
      <c r="B4" s="4" t="inlineStr">
        <is>
          <t>30/09/2026</t>
        </is>
      </c>
    </row>
    <row r="5">
      <c r="A5" s="3" t="inlineStr">
        <is>
          <t>Lead QA Tester</t>
        </is>
      </c>
      <c r="B5" s="4" t="inlineStr">
        <is>
          <t>Ageng</t>
        </is>
      </c>
    </row>
    <row r="6">
      <c r="A6" s="3" t="inlineStr">
        <is>
          <t>Lingkungan Uji (Environment)</t>
        </is>
      </c>
      <c r="B6" s="4" t="inlineStr">
        <is>
          <t>Development (KICAO KDS Dev, PRM Dev, MAVEN Dev)</t>
        </is>
      </c>
    </row>
    <row r="7">
      <c r="A7" s="3" t="inlineStr">
        <is>
          <t>Nomor Dokumen MKPP DF</t>
        </is>
      </c>
      <c r="B7" s="4" t="inlineStr">
        <is>
          <t>26.09/MKPP-MIM/0070.000</t>
        </is>
      </c>
    </row>
    <row r="8">
      <c r="A8" s="3" t="inlineStr">
        <is>
          <t>Total Nilai MKPP DF</t>
        </is>
      </c>
      <c r="B8" s="4" t="inlineStr">
        <is>
          <t>Rp 500.000 (Bandung Selatan Rp 250.000 + Jakarta Selatan Rp 250.000)</t>
        </is>
      </c>
    </row>
    <row r="9">
      <c r="A9" s="3" t="inlineStr">
        <is>
          <t>Total Activity &amp; SKP</t>
        </is>
      </c>
      <c r="B9" s="4" t="inlineStr">
        <is>
          <t>2 Aktivitas Promosi | 6 SKP (masing-masing 3 SKP + PDF Attachment)</t>
        </is>
      </c>
    </row>
    <row r="10">
      <c r="A10" s="3" t="inlineStr">
        <is>
          <t>Periode Program &amp; Klaim</t>
        </is>
      </c>
      <c r="B10" s="4" t="inlineStr">
        <is>
          <t>30/09/2026 s/d 31/12/2026 (Standar Periode Tanggal Berjalan)</t>
        </is>
      </c>
    </row>
    <row r="11">
      <c r="A11" s="3" t="inlineStr">
        <is>
          <t>Dokumen Klaim Bandung Selatan (050311)</t>
        </is>
      </c>
      <c r="B11" s="4" t="inlineStr">
        <is>
          <t>-</t>
        </is>
      </c>
    </row>
    <row r="12">
      <c r="A12" s="3" t="inlineStr">
        <is>
          <t>Dokumen Klaim Jakarta Selatan (040310)</t>
        </is>
      </c>
      <c r="B12" s="4" t="inlineStr">
        <is>
          <t>-</t>
        </is>
      </c>
    </row>
    <row r="13">
      <c r="A13" s="3" t="inlineStr">
        <is>
          <t>Jumlah Skenario Detail</t>
        </is>
      </c>
      <c r="B13" s="4" t="inlineStr">
        <is>
          <t>20 Skenario Lengkap Termasuk LOV Datatable</t>
        </is>
      </c>
    </row>
    <row r="14">
      <c r="A14" s="3" t="inlineStr">
        <is>
          <t>Tingkat Kelulusan (Pass Rate)</t>
        </is>
      </c>
      <c r="B14" s="4" t="inlineStr">
        <is>
          <t>19 Pass / 1 Fail dari 20 skenario</t>
        </is>
      </c>
    </row>
    <row r="15">
      <c r="A15" s="3" t="inlineStr">
        <is>
          <t>Stamp Laporan</t>
        </is>
      </c>
      <c r="B15" s="4" t="inlineStr">
        <is>
          <t>2026_09_30_17-33-11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10" customWidth="1" min="5" max="5"/>
    <col width="35" customWidth="1" min="6" max="6"/>
    <col width="28" customWidth="1" min="7" max="7"/>
    <col width="38" customWidth="1" min="8" max="8"/>
    <col width="32" customWidth="1" min="9" max="9"/>
    <col width="10" customWidth="1" min="10" max="10"/>
    <col width="12" customWidth="1" min="11" max="11"/>
    <col width="35" customWidth="1" min="12" max="12"/>
    <col width="18" customWidth="1" min="13" max="13"/>
    <col width="12" customWidth="1" min="14" max="14"/>
    <col width="14" customWidth="1" min="15" max="15"/>
  </cols>
  <sheetData>
    <row r="1" ht="28" customHeight="1">
      <c r="A1" s="5" t="inlineStr">
        <is>
          <t>No.</t>
        </is>
      </c>
      <c r="B1" s="5" t="inlineStr">
        <is>
          <t>Scenario ID</t>
        </is>
      </c>
      <c r="C1" s="5" t="inlineStr">
        <is>
          <t>Modul / Portal</t>
        </is>
      </c>
      <c r="D1" s="5" t="inlineStr">
        <is>
          <t>Field / Fitur Skenario</t>
        </is>
      </c>
      <c r="E1" s="5" t="inlineStr">
        <is>
          <t>Tipe Uji</t>
        </is>
      </c>
      <c r="F1" s="5" t="inlineStr">
        <is>
          <t>Deskripsi Skenario</t>
        </is>
      </c>
      <c r="G1" s="5" t="inlineStr">
        <is>
          <t>Prasyarat (Pre-conditions)</t>
        </is>
      </c>
      <c r="H1" s="5" t="inlineStr">
        <is>
          <t>Langkah-Langkah Pengujian</t>
        </is>
      </c>
      <c r="I1" s="5" t="inlineStr">
        <is>
          <t>Expected Result</t>
        </is>
      </c>
      <c r="J1" s="5" t="inlineStr">
        <is>
          <t>Priority</t>
        </is>
      </c>
      <c r="K1" s="5" t="inlineStr">
        <is>
          <t>Status Uji</t>
        </is>
      </c>
      <c r="L1" s="5" t="inlineStr">
        <is>
          <t>Hasil Aktual</t>
        </is>
      </c>
      <c r="M1" s="5" t="inlineStr">
        <is>
          <t>Bukti Pengujian (Evidence)</t>
        </is>
      </c>
      <c r="N1" s="5" t="inlineStr">
        <is>
          <t>QA Tester</t>
        </is>
      </c>
      <c r="O1" s="5" t="inlineStr">
        <is>
          <t>Tanggal Uji</t>
        </is>
      </c>
    </row>
    <row r="2" ht="65" customHeight="1">
      <c r="A2" s="6" t="n">
        <v>1</v>
      </c>
      <c r="B2" s="6" t="inlineStr">
        <is>
          <t>TC-E2E-01</t>
        </is>
      </c>
      <c r="C2" s="7" t="inlineStr">
        <is>
          <t>KICAO KDS</t>
        </is>
      </c>
      <c r="D2" s="7" t="inlineStr">
        <is>
          <t>Navigasi Form MKPP DF</t>
        </is>
      </c>
      <c r="E2" s="6" t="inlineStr">
        <is>
          <t>Positive</t>
        </is>
      </c>
      <c r="F2" s="8" t="inlineStr">
        <is>
          <t>Membuka halaman utama modul Memo MKPP Promosi DF</t>
        </is>
      </c>
      <c r="G2" s="8" t="inlineStr">
        <is>
          <t>User Muslih login dengan hak akses pembuatan MKPP</t>
        </is>
      </c>
      <c r="H2" s="8" t="inlineStr">
        <is>
          <t>1. Login KDS user Muslih
2. Masuk ke menu Transaction -&gt; Memo MKPP Promosi</t>
        </is>
      </c>
      <c r="I2" s="8" t="inlineStr">
        <is>
          <t>Halaman formulir MKPP terbuka dan tombol aksi tersedia</t>
        </is>
      </c>
      <c r="J2" s="6" t="inlineStr">
        <is>
          <t>Medium</t>
        </is>
      </c>
      <c r="K2" s="9" t="inlineStr">
        <is>
          <t>Pass</t>
        </is>
      </c>
      <c r="L2" s="8" t="inlineStr">
        <is>
          <t>Halaman MKPP berhasil dimuat dengan sempurna</t>
        </is>
      </c>
      <c r="M2" s="10">
        <f>HYPERLINK("evidence_2026_09_30_17-14-26\01_MKPP_Dashboard_Initial.png", "Lihat Evidence")</f>
        <v/>
      </c>
      <c r="N2" s="6" t="inlineStr">
        <is>
          <t>Ageng</t>
        </is>
      </c>
      <c r="O2" s="6" t="inlineStr">
        <is>
          <t>30/09/2026</t>
        </is>
      </c>
    </row>
    <row r="3" ht="65" customHeight="1">
      <c r="A3" s="11" t="n">
        <v>2</v>
      </c>
      <c r="B3" s="11" t="inlineStr">
        <is>
          <t>TC-E2E-02</t>
        </is>
      </c>
      <c r="C3" s="12" t="inlineStr">
        <is>
          <t>KICAO KDS</t>
        </is>
      </c>
      <c r="D3" s="12" t="inlineStr">
        <is>
          <t>Modal LOV Group Subdistributor Datatable</t>
        </is>
      </c>
      <c r="E3" s="11" t="inlineStr">
        <is>
          <t>Positive</t>
        </is>
      </c>
      <c r="F3" s="13" t="inlineStr">
        <is>
          <t>Membuka modal LOV Subdist Group dan memilih Group CSA dari datatable</t>
        </is>
      </c>
      <c r="G3" s="13" t="inlineStr">
        <is>
          <t>Tombol #btnLOVGroupName diklik</t>
        </is>
      </c>
      <c r="H3" s="13" t="inlineStr">
        <is>
          <t>1. Buka modal LOV Group Subdist
2. Cari dan pilih Group CSA
3. Klik Select</t>
        </is>
      </c>
      <c r="I3" s="13" t="inlineStr">
        <is>
          <t>Group Subdist CSA terpilih dan terisi pada form</t>
        </is>
      </c>
      <c r="J3" s="11" t="inlineStr">
        <is>
          <t>High</t>
        </is>
      </c>
      <c r="K3" s="9" t="inlineStr">
        <is>
          <t>Pass</t>
        </is>
      </c>
      <c r="L3" s="13" t="inlineStr">
        <is>
          <t>Group CSA berhasil dipilih dari modal LOV</t>
        </is>
      </c>
      <c r="M3" s="14">
        <f>HYPERLINK("evidence_2026_09_30_17-14-26\02_MKPP_LOV_Group_Datatable.png", "Lihat Evidence")</f>
        <v/>
      </c>
      <c r="N3" s="11" t="inlineStr">
        <is>
          <t>Ageng</t>
        </is>
      </c>
      <c r="O3" s="11" t="inlineStr">
        <is>
          <t>30/09/2026</t>
        </is>
      </c>
    </row>
    <row r="4" ht="65" customHeight="1">
      <c r="A4" s="6" t="n">
        <v>3</v>
      </c>
      <c r="B4" s="6" t="inlineStr">
        <is>
          <t>TC-E2E-03</t>
        </is>
      </c>
      <c r="C4" s="7" t="inlineStr">
        <is>
          <t>KICAO KDS</t>
        </is>
      </c>
      <c r="D4" s="7" t="inlineStr">
        <is>
          <t>Modal LOV Subdistributor Datatable - BANDUNG SELATAN</t>
        </is>
      </c>
      <c r="E4" s="6" t="inlineStr">
        <is>
          <t>Positive</t>
        </is>
      </c>
      <c r="F4" s="8" t="inlineStr">
        <is>
          <t>Membuka modal LOV Subdistributor berpaginasi dan memilih BANDUNG SELATAN</t>
        </is>
      </c>
      <c r="G4" s="8" t="inlineStr">
        <is>
          <t>Baris Activity 1 telah ditambahkan</t>
        </is>
      </c>
      <c r="H4" s="8" t="inlineStr">
        <is>
          <t>1. Klik tombol LOV Supplier/Subdist pada baris 1
2. Filter pencarian BANDUNG SELATAN
3. Klik Select pada hasil datatable</t>
        </is>
      </c>
      <c r="I4" s="8" t="inlineStr">
        <is>
          <t>Subdistributor terpilih dan terisi pada baris activity</t>
        </is>
      </c>
      <c r="J4" s="6" t="inlineStr">
        <is>
          <t>High</t>
        </is>
      </c>
      <c r="K4" s="9" t="inlineStr">
        <is>
          <t>Pass</t>
        </is>
      </c>
      <c r="L4" s="8" t="inlineStr">
        <is>
          <t>Subdistributor BANDUNG SELATAN berhasil dipilih dari LOV</t>
        </is>
      </c>
      <c r="M4" s="10">
        <f>HYPERLINK("evidence_2026_09_30_17-14-26\03_MKPP_LOV_Subdist_BDO_Datatable.png", "Lihat Evidence")</f>
        <v/>
      </c>
      <c r="N4" s="6" t="inlineStr">
        <is>
          <t>Ageng</t>
        </is>
      </c>
      <c r="O4" s="6" t="inlineStr">
        <is>
          <t>30/09/2026</t>
        </is>
      </c>
    </row>
    <row r="5" ht="65" customHeight="1">
      <c r="A5" s="11" t="n">
        <v>4</v>
      </c>
      <c r="B5" s="11" t="inlineStr">
        <is>
          <t>TC-E2E-04</t>
        </is>
      </c>
      <c r="C5" s="12" t="inlineStr">
        <is>
          <t>KICAO KDS</t>
        </is>
      </c>
      <c r="D5" s="12" t="inlineStr">
        <is>
          <t>Modal SKP Activity 1 - 3 Nested Rows &amp; Attachment (BANDUNG SELATAN)</t>
        </is>
      </c>
      <c r="E5" s="11" t="inlineStr">
        <is>
          <t>Positive</t>
        </is>
      </c>
      <c r="F5" s="13" t="inlineStr">
        <is>
          <t>Menginput 3 baris rincian SKP dengan alokasi total Rp 250.000 dan lampiran PDF untuk BANDUNG SELATAN</t>
        </is>
      </c>
      <c r="G5" s="13" t="inlineStr">
        <is>
          <t>Modal SKP Activity 1 terbuka</t>
        </is>
      </c>
      <c r="H5" s="13" t="inlineStr">
        <is>
          <t>1. Input baris 1, 2, 3 dengan nomor SKP resmi dan nominal
2. Unggah berkas PDF pada masing-masing baris
3. Verifikasi kalkulasi subtotal</t>
        </is>
      </c>
      <c r="I5" s="13" t="inlineStr">
        <is>
          <t>Ketiga baris SKP terdaftar rapi dengan total Rp 250.000</t>
        </is>
      </c>
      <c r="J5" s="11" t="inlineStr">
        <is>
          <t>High</t>
        </is>
      </c>
      <c r="K5" s="9" t="inlineStr">
        <is>
          <t>Pass</t>
        </is>
      </c>
      <c r="L5" s="13" t="inlineStr">
        <is>
          <t>Modal SKP BANDUNG SELATAN sukses terisi 3 baris SKP + file attachment</t>
        </is>
      </c>
      <c r="M5" s="14">
        <f>HYPERLINK("evidence_2026_09_30_17-14-26\04_MKPP_SKP_Modal_BDO_3NestedRows.png", "Lihat Evidence")</f>
        <v/>
      </c>
      <c r="N5" s="11" t="inlineStr">
        <is>
          <t>Ageng</t>
        </is>
      </c>
      <c r="O5" s="11" t="inlineStr">
        <is>
          <t>30/09/2026</t>
        </is>
      </c>
    </row>
    <row r="6" ht="65" customHeight="1">
      <c r="A6" s="6" t="n">
        <v>5</v>
      </c>
      <c r="B6" s="6" t="inlineStr">
        <is>
          <t>TC-E2E-05</t>
        </is>
      </c>
      <c r="C6" s="7" t="inlineStr">
        <is>
          <t>KICAO KDS</t>
        </is>
      </c>
      <c r="D6" s="7" t="inlineStr">
        <is>
          <t>Modal LOV Subdistributor Datatable - JAKARTA SELATAN</t>
        </is>
      </c>
      <c r="E6" s="6" t="inlineStr">
        <is>
          <t>Positive</t>
        </is>
      </c>
      <c r="F6" s="8" t="inlineStr">
        <is>
          <t>Membuka modal LOV Subdistributor berpaginasi dan memilih JAKARTA SELATAN</t>
        </is>
      </c>
      <c r="G6" s="8" t="inlineStr">
        <is>
          <t>Baris Activity 2 telah ditambahkan</t>
        </is>
      </c>
      <c r="H6" s="8" t="inlineStr">
        <is>
          <t>1. Klik tombol LOV Supplier/Subdist pada baris 2
2. Filter pencarian JAKARTA SELATAN
3. Klik Select pada hasil datatable</t>
        </is>
      </c>
      <c r="I6" s="8" t="inlineStr">
        <is>
          <t>Subdistributor terpilih dan terisi pada baris activity</t>
        </is>
      </c>
      <c r="J6" s="6" t="inlineStr">
        <is>
          <t>High</t>
        </is>
      </c>
      <c r="K6" s="9" t="inlineStr">
        <is>
          <t>Pass</t>
        </is>
      </c>
      <c r="L6" s="8" t="inlineStr">
        <is>
          <t>Subdistributor JAKARTA SELATAN berhasil dipilih dari LOV</t>
        </is>
      </c>
      <c r="M6" s="10">
        <f>HYPERLINK("evidence_2026_09_30_17-14-26\05_MKPP_LOV_Subdist_JKT_Datatable.png", "Lihat Evidence")</f>
        <v/>
      </c>
      <c r="N6" s="6" t="inlineStr">
        <is>
          <t>Ageng</t>
        </is>
      </c>
      <c r="O6" s="6" t="inlineStr">
        <is>
          <t>30/09/2026</t>
        </is>
      </c>
    </row>
    <row r="7" ht="65" customHeight="1">
      <c r="A7" s="11" t="n">
        <v>6</v>
      </c>
      <c r="B7" s="11" t="inlineStr">
        <is>
          <t>TC-E2E-06</t>
        </is>
      </c>
      <c r="C7" s="12" t="inlineStr">
        <is>
          <t>KICAO KDS</t>
        </is>
      </c>
      <c r="D7" s="12" t="inlineStr">
        <is>
          <t>Modal SKP Activity 2 - 3 Nested Rows &amp; Attachment (JAKARTA SELATAN)</t>
        </is>
      </c>
      <c r="E7" s="11" t="inlineStr">
        <is>
          <t>Positive</t>
        </is>
      </c>
      <c r="F7" s="13" t="inlineStr">
        <is>
          <t>Menginput 3 baris rincian SKP dengan alokasi total Rp 250.000 dan lampiran PDF untuk JAKARTA SELATAN</t>
        </is>
      </c>
      <c r="G7" s="13" t="inlineStr">
        <is>
          <t>Modal SKP Activity 2 terbuka</t>
        </is>
      </c>
      <c r="H7" s="13" t="inlineStr">
        <is>
          <t>1. Input baris 1, 2, 3 dengan nomor SKP resmi dan nominal
2. Unggah berkas PDF pada masing-masing baris
3. Verifikasi kalkulasi subtotal</t>
        </is>
      </c>
      <c r="I7" s="13" t="inlineStr">
        <is>
          <t>Ketiga baris SKP terdaftar rapi dengan total Rp 250.000</t>
        </is>
      </c>
      <c r="J7" s="11" t="inlineStr">
        <is>
          <t>High</t>
        </is>
      </c>
      <c r="K7" s="9" t="inlineStr">
        <is>
          <t>Pass</t>
        </is>
      </c>
      <c r="L7" s="13" t="inlineStr">
        <is>
          <t>Modal SKP JAKARTA SELATAN sukses terisi 3 baris SKP + file attachment</t>
        </is>
      </c>
      <c r="M7" s="14">
        <f>HYPERLINK("evidence_2026_09_30_17-14-26\06_MKPP_SKP_Modal_JKT_3NestedRows.png", "Lihat Evidence")</f>
        <v/>
      </c>
      <c r="N7" s="11" t="inlineStr">
        <is>
          <t>Ageng</t>
        </is>
      </c>
      <c r="O7" s="11" t="inlineStr">
        <is>
          <t>30/09/2026</t>
        </is>
      </c>
    </row>
    <row r="8" ht="65" customHeight="1">
      <c r="A8" s="6" t="n">
        <v>7</v>
      </c>
      <c r="B8" s="6" t="inlineStr">
        <is>
          <t>TC-E2E-07</t>
        </is>
      </c>
      <c r="C8" s="7" t="inlineStr">
        <is>
          <t>KICAO KDS</t>
        </is>
      </c>
      <c r="D8" s="7" t="inlineStr">
        <is>
          <t>Pengisian Form Lengkap Dokumen MKPP DF</t>
        </is>
      </c>
      <c r="E8" s="6" t="inlineStr">
        <is>
          <t>Positive</t>
        </is>
      </c>
      <c r="F8" s="8" t="inlineStr">
        <is>
          <t>Memverifikasi seluruh form terisi lengkap: 2 Activity, 6 SKP, total budget Rp 500.000, serta deskripsi dan mekanisme program</t>
        </is>
      </c>
      <c r="G8" s="8" t="inlineStr">
        <is>
          <t>Seluruh activity, SKP, dan deskripsi CKEditor telah diisi</t>
        </is>
      </c>
      <c r="H8" s="8" t="inlineStr">
        <is>
          <t>1. Review seluruh ringkasan tabel Activity dan Total Budget Rp 500.000
2. Pastikan deskripsi program, mekanisme, dan remark terisi informatif</t>
        </is>
      </c>
      <c r="I8" s="8" t="inlineStr">
        <is>
          <t>Formulir MKPP siap disubmit dengan total nilai kalkulasi valid Rp 500.000</t>
        </is>
      </c>
      <c r="J8" s="6" t="inlineStr">
        <is>
          <t>High</t>
        </is>
      </c>
      <c r="K8" s="9" t="inlineStr">
        <is>
          <t>Pass</t>
        </is>
      </c>
      <c r="L8" s="8" t="inlineStr">
        <is>
          <t>Formulir MKPP terisi lengkap dengan total budget terverifikasi Rp 500.000</t>
        </is>
      </c>
      <c r="M8" s="10">
        <f>HYPERLINK("evidence_2026_09_30_17-14-26\07_MKPP_Full_Form_Filled.png", "Lihat Evidence")</f>
        <v/>
      </c>
      <c r="N8" s="6" t="inlineStr">
        <is>
          <t>Ageng</t>
        </is>
      </c>
      <c r="O8" s="6" t="inlineStr">
        <is>
          <t>30/09/2026</t>
        </is>
      </c>
    </row>
    <row r="9" ht="65" customHeight="1">
      <c r="A9" s="11" t="n">
        <v>8</v>
      </c>
      <c r="B9" s="11" t="inlineStr">
        <is>
          <t>TC-E2E-08</t>
        </is>
      </c>
      <c r="C9" s="12" t="inlineStr">
        <is>
          <t>KICAO KDS</t>
        </is>
      </c>
      <c r="D9" s="12" t="inlineStr">
        <is>
          <t>Dialog Konfirmasi Submit MKPP</t>
        </is>
      </c>
      <c r="E9" s="11" t="inlineStr">
        <is>
          <t>Positive</t>
        </is>
      </c>
      <c r="F9" s="13" t="inlineStr">
        <is>
          <t>Memastikan dialog konfirmasi submit muncul sebelum dokumen diproses</t>
        </is>
      </c>
      <c r="G9" s="13" t="inlineStr">
        <is>
          <t>Tombol Submit diklik</t>
        </is>
      </c>
      <c r="H9" s="13" t="inlineStr">
        <is>
          <t>1. Klik tombol Submit (#btnSubmit)
2. Verifikasi modal konfirmasi Bootbox muncul</t>
        </is>
      </c>
      <c r="I9" s="13" t="inlineStr">
        <is>
          <t>Dialog konfirmasi meminta persetujuan user untuk mengirim dokumen ke workflow</t>
        </is>
      </c>
      <c r="J9" s="11" t="inlineStr">
        <is>
          <t>Medium</t>
        </is>
      </c>
      <c r="K9" s="9" t="inlineStr">
        <is>
          <t>Pass</t>
        </is>
      </c>
      <c r="L9" s="13" t="inlineStr">
        <is>
          <t>Dialog konfirmasi submit berhasil muncul dengan opsi Konfirmasi</t>
        </is>
      </c>
      <c r="M9" s="14">
        <f>HYPERLINK("evidence_2026_09_30_17-14-26\08_MKPP_Submit_Confirmation.png", "Lihat Evidence")</f>
        <v/>
      </c>
      <c r="N9" s="11" t="inlineStr">
        <is>
          <t>Ageng</t>
        </is>
      </c>
      <c r="O9" s="11" t="inlineStr">
        <is>
          <t>30/09/2026</t>
        </is>
      </c>
    </row>
    <row r="10" ht="65" customHeight="1">
      <c r="A10" s="6" t="n">
        <v>9</v>
      </c>
      <c r="B10" s="6" t="inlineStr">
        <is>
          <t>TC-E2E-09</t>
        </is>
      </c>
      <c r="C10" s="7" t="inlineStr">
        <is>
          <t>KICAO KDS</t>
        </is>
      </c>
      <c r="D10" s="7" t="inlineStr">
        <is>
          <t>Penerbitan Nomor Dokumen MKPP Resmi</t>
        </is>
      </c>
      <c r="E10" s="6" t="inlineStr">
        <is>
          <t>Positive</t>
        </is>
      </c>
      <c r="F10" s="8" t="inlineStr">
        <is>
          <t>Dokumen MKPP berhasil diterbitkan dengan nomor resmi: 26.09/MKPP-MIM/0070.000</t>
        </is>
      </c>
      <c r="G10" s="8" t="inlineStr">
        <is>
          <t>Submit MKPP telah dikonfirmasi dan diproses server</t>
        </is>
      </c>
      <c r="H10" s="8" t="inlineStr">
        <is>
          <t>1. Membaca nomor dokumen pada field #txtDocNo (26.09/MKPP-MIM/0070.000)
2. Memverifikasi status flow inisial (ON PROGRESS APPROVAL)</t>
        </is>
      </c>
      <c r="I10" s="8" t="inlineStr">
        <is>
          <t>Nomor dokumen terbit otomatis dan status masuk antrean workflow approval Tier 1</t>
        </is>
      </c>
      <c r="J10" s="6" t="inlineStr">
        <is>
          <t>High</t>
        </is>
      </c>
      <c r="K10" s="9" t="inlineStr">
        <is>
          <t>Pass</t>
        </is>
      </c>
      <c r="L10" s="8" t="inlineStr">
        <is>
          <t>Dokumen MKPP resmi 26.09/MKPP-MIM/0070.000 berhasil terbit dengan status inisial ON PROGRESS APPROVAL</t>
        </is>
      </c>
      <c r="M10" s="10">
        <f>HYPERLINK("evidence_2026_09_30_17-14-26\09_MKPP_Success_DocNo_26.09_MKPP-MIM_0070.000.png", "Lihat Evidence")</f>
        <v/>
      </c>
      <c r="N10" s="6" t="inlineStr">
        <is>
          <t>Ageng</t>
        </is>
      </c>
      <c r="O10" s="6" t="inlineStr">
        <is>
          <t>30/09/2026</t>
        </is>
      </c>
    </row>
    <row r="11" ht="65" customHeight="1">
      <c r="A11" s="11" t="n">
        <v>10</v>
      </c>
      <c r="B11" s="11" t="inlineStr">
        <is>
          <t>TC-E2E-10</t>
        </is>
      </c>
      <c r="C11" s="12" t="inlineStr">
        <is>
          <t>KICAO KDS (Workflow)</t>
        </is>
      </c>
      <c r="D11" s="12" t="inlineStr">
        <is>
          <t>Inbox Approval Tier 1 - Datatable Review</t>
        </is>
      </c>
      <c r="E11" s="11" t="inlineStr">
        <is>
          <t>Positive</t>
        </is>
      </c>
      <c r="F11" s="13" t="inlineStr">
        <is>
          <t>Membuka inbox approval Tier 1 (PATRICK.YOHANNES) dan memverifikasi dokumen 26.09/MKPP-MIM/0070.000 masuk antrean</t>
        </is>
      </c>
      <c r="G11" s="13" t="inlineStr">
        <is>
          <t>Dokumen MKPP telah disubmit oleh Muslih</t>
        </is>
      </c>
      <c r="H11" s="13" t="inlineStr">
        <is>
          <t>1. Login KDS user PATRICK.YOHANNES
2. Buka Transaksi -&gt; Approval Dokumen
3. Verifikasi dokumen MKPP muncul di grid datatable</t>
        </is>
      </c>
      <c r="I11" s="13" t="inlineStr">
        <is>
          <t>Dokumen MKPP tampil pada tabel approval inbox Tier 1</t>
        </is>
      </c>
      <c r="J11" s="11" t="inlineStr">
        <is>
          <t>High</t>
        </is>
      </c>
      <c r="K11" s="9" t="inlineStr">
        <is>
          <t>Pass</t>
        </is>
      </c>
      <c r="L11" s="13" t="inlineStr">
        <is>
          <t>Dokumen 26.09/MKPP-MIM/0070.000 berhasil ditemukan dalam antrean approval Tier 1</t>
        </is>
      </c>
      <c r="M11" s="14">
        <f>HYPERLINK("evidence_2026_09_30_17-14-26\10_KDS_Approval_Tier1_Inbox_Datatable.png", "Lihat Evidence")</f>
        <v/>
      </c>
      <c r="N11" s="11" t="inlineStr">
        <is>
          <t>Ageng</t>
        </is>
      </c>
      <c r="O11" s="11" t="inlineStr">
        <is>
          <t>30/09/2026</t>
        </is>
      </c>
    </row>
    <row r="12" ht="65" customHeight="1">
      <c r="A12" s="6" t="n">
        <v>11</v>
      </c>
      <c r="B12" s="6" t="inlineStr">
        <is>
          <t>TC-E2E-11</t>
        </is>
      </c>
      <c r="C12" s="7" t="inlineStr">
        <is>
          <t>KICAO KDS (Workflow)</t>
        </is>
      </c>
      <c r="D12" s="7" t="inlineStr">
        <is>
          <t>Review Rincian Approval Tier 1</t>
        </is>
      </c>
      <c r="E12" s="6" t="inlineStr">
        <is>
          <t>Positive</t>
        </is>
      </c>
      <c r="F12" s="8" t="inlineStr">
        <is>
          <t>Menampilkan rincian dokumen MKPP, alokasi budget outlet, dan berkas lampiran pendukung</t>
        </is>
      </c>
      <c r="G12" s="8" t="inlineStr">
        <is>
          <t>Form persetujuan terbuka</t>
        </is>
      </c>
      <c r="H12" s="8" t="inlineStr">
        <is>
          <t>1. Review ringkasan dokumen dan budget
2. Verifikasi status kesiapan dokumen</t>
        </is>
      </c>
      <c r="I12" s="8" t="inlineStr">
        <is>
          <t>Seluruh komponen dokumen tampil lengkap untuk dievaluasi oleh Brand / ABM</t>
        </is>
      </c>
      <c r="J12" s="6" t="inlineStr">
        <is>
          <t>Medium</t>
        </is>
      </c>
      <c r="K12" s="9" t="inlineStr">
        <is>
          <t>Pass</t>
        </is>
      </c>
      <c r="L12" s="8" t="inlineStr">
        <is>
          <t>Rincian dokumen MKPP tampil lengkap untuk persetujuan Tier 1</t>
        </is>
      </c>
      <c r="M12" s="10">
        <f>HYPERLINK("evidence_2026_09_30_17-14-26\11_KDS_Approval_Tier1_Detail_Review.png", "Lihat Evidence")</f>
        <v/>
      </c>
      <c r="N12" s="6" t="inlineStr">
        <is>
          <t>Ageng</t>
        </is>
      </c>
      <c r="O12" s="6" t="inlineStr">
        <is>
          <t>30/09/2026</t>
        </is>
      </c>
    </row>
    <row r="13" ht="65" customHeight="1">
      <c r="A13" s="11" t="n">
        <v>12</v>
      </c>
      <c r="B13" s="11" t="inlineStr">
        <is>
          <t>TC-E2E-12</t>
        </is>
      </c>
      <c r="C13" s="12" t="inlineStr">
        <is>
          <t>KICAO KDS (Workflow)</t>
        </is>
      </c>
      <c r="D13" s="12" t="inlineStr">
        <is>
          <t>Checklist Persetujuan Tier 1</t>
        </is>
      </c>
      <c r="E13" s="11" t="inlineStr">
        <is>
          <t>Positive</t>
        </is>
      </c>
      <c r="F13" s="13" t="inlineStr">
        <is>
          <t>Memberi centang persetujuan pada seluruh checkbox item dokumen MKPP</t>
        </is>
      </c>
      <c r="G13" s="13" t="inlineStr">
        <is>
          <t>Form approval telah dimuat</t>
        </is>
      </c>
      <c r="H13" s="13" t="inlineStr">
        <is>
          <t>1. Centang opsi Approve All (#chkApproveAll)
2. Verifikasi semua checkbox item aktif</t>
        </is>
      </c>
      <c r="I13" s="13" t="inlineStr">
        <is>
          <t>Semua indikator persetujuan aktif dan siap disimpan</t>
        </is>
      </c>
      <c r="J13" s="11" t="inlineStr">
        <is>
          <t>Medium</t>
        </is>
      </c>
      <c r="K13" s="9" t="inlineStr">
        <is>
          <t>Pass</t>
        </is>
      </c>
      <c r="L13" s="13" t="inlineStr">
        <is>
          <t>Semua checkbox persetujuan berhasil ditandai aktif</t>
        </is>
      </c>
      <c r="M13" s="14">
        <f>HYPERLINK("evidence_2026_09_30_17-14-26\12_KDS_Approval_Tier1_Checkbox_Selected.png", "Lihat Evidence")</f>
        <v/>
      </c>
      <c r="N13" s="11" t="inlineStr">
        <is>
          <t>Ageng</t>
        </is>
      </c>
      <c r="O13" s="11" t="inlineStr">
        <is>
          <t>30/09/2026</t>
        </is>
      </c>
    </row>
    <row r="14" ht="65" customHeight="1">
      <c r="A14" s="6" t="n">
        <v>13</v>
      </c>
      <c r="B14" s="6" t="inlineStr">
        <is>
          <t>TC-E2E-13</t>
        </is>
      </c>
      <c r="C14" s="7" t="inlineStr">
        <is>
          <t>KICAO KDS (Workflow)</t>
        </is>
      </c>
      <c r="D14" s="7" t="inlineStr">
        <is>
          <t>Eksekusi Persetujuan Approval Tier 1 Sukses</t>
        </is>
      </c>
      <c r="E14" s="6" t="inlineStr">
        <is>
          <t>Positive</t>
        </is>
      </c>
      <c r="F14" s="8" t="inlineStr">
        <is>
          <t>Menyimpan hasil persetujuan Tier 1 dan meneruskan dokumen ke antrean Tier 2</t>
        </is>
      </c>
      <c r="G14" s="8" t="inlineStr">
        <is>
          <t>Checkbox persetujuan telah ditandai</t>
        </is>
      </c>
      <c r="H14" s="8" t="inlineStr">
        <is>
          <t>1. Klik tombol Simpan (#btnSave)
2. Konfirmasi dialog persetujuan
3. Klik OK pada alert sukses</t>
        </is>
      </c>
      <c r="I14" s="8" t="inlineStr">
        <is>
          <t>Persetujuan Tier 1 tersimpan sukses dan dokumen berpindah ke Tier 2</t>
        </is>
      </c>
      <c r="J14" s="6" t="inlineStr">
        <is>
          <t>High</t>
        </is>
      </c>
      <c r="K14" s="9" t="inlineStr">
        <is>
          <t>Pass</t>
        </is>
      </c>
      <c r="L14" s="8" t="inlineStr">
        <is>
          <t>Approval Tier 1 oleh PATRICK.YOHANNES sukses diproses untuk 26.09/MKPP-MIM/0070.000</t>
        </is>
      </c>
      <c r="M14" s="10">
        <f>HYPERLINK("evidence_2026_09_30_17-14-26\13_KDS_Approval_Tier1_Approved_Success.png", "Lihat Evidence")</f>
        <v/>
      </c>
      <c r="N14" s="6" t="inlineStr">
        <is>
          <t>Ageng</t>
        </is>
      </c>
      <c r="O14" s="6" t="inlineStr">
        <is>
          <t>30/09/2026</t>
        </is>
      </c>
    </row>
    <row r="15" ht="65" customHeight="1">
      <c r="A15" s="11" t="n">
        <v>14</v>
      </c>
      <c r="B15" s="11" t="inlineStr">
        <is>
          <t>TC-E2E-14</t>
        </is>
      </c>
      <c r="C15" s="12" t="inlineStr">
        <is>
          <t>KICAO KDS (Workflow)</t>
        </is>
      </c>
      <c r="D15" s="12" t="inlineStr">
        <is>
          <t>Inbox Approval Tier 2 - Datatable Review</t>
        </is>
      </c>
      <c r="E15" s="11" t="inlineStr">
        <is>
          <t>Positive</t>
        </is>
      </c>
      <c r="F15" s="13" t="inlineStr">
        <is>
          <t>Membuka inbox approval Tier 2 (HENDRAWAN.KHO) dan memverifikasi dokumen 26.09/MKPP-MIM/0070.000 siap di-approve</t>
        </is>
      </c>
      <c r="G15" s="13" t="inlineStr">
        <is>
          <t>Dokumen telah disetujui Tier 1</t>
        </is>
      </c>
      <c r="H15" s="13" t="inlineStr">
        <is>
          <t>1. Login KDS user HENDRAWAN.KHO
2. Buka Transaksi -&gt; Approval Dokumen
3. Verifikasi dokumen MKPP muncul di antrean Tier 2</t>
        </is>
      </c>
      <c r="I15" s="13" t="inlineStr">
        <is>
          <t>Dokumen MKPP tampil pada tabel approval inbox Tier 2</t>
        </is>
      </c>
      <c r="J15" s="11" t="inlineStr">
        <is>
          <t>High</t>
        </is>
      </c>
      <c r="K15" s="9" t="inlineStr">
        <is>
          <t>Pass</t>
        </is>
      </c>
      <c r="L15" s="13" t="inlineStr">
        <is>
          <t>Dokumen 26.09/MKPP-MIM/0070.000 berhasil ditemukan dalam antrean approval Tier 2</t>
        </is>
      </c>
      <c r="M15" s="14">
        <f>HYPERLINK("evidence_2026_09_30_17-14-26\14_KDS_Approval_Tier2_Inbox_Datatable.png", "Lihat Evidence")</f>
        <v/>
      </c>
      <c r="N15" s="11" t="inlineStr">
        <is>
          <t>Ageng</t>
        </is>
      </c>
      <c r="O15" s="11" t="inlineStr">
        <is>
          <t>30/09/2026</t>
        </is>
      </c>
    </row>
    <row r="16" ht="65" customHeight="1">
      <c r="A16" s="6" t="n">
        <v>15</v>
      </c>
      <c r="B16" s="6" t="inlineStr">
        <is>
          <t>TC-E2E-17</t>
        </is>
      </c>
      <c r="C16" s="7" t="inlineStr">
        <is>
          <t>KICAO KDS (Workflow)</t>
        </is>
      </c>
      <c r="D16" s="7" t="inlineStr">
        <is>
          <t>Status akhir MKPP setelah Tier 1</t>
        </is>
      </c>
      <c r="E16" s="6" t="inlineStr">
        <is>
          <t>Positive</t>
        </is>
      </c>
      <c r="F16" s="8" t="inlineStr">
        <is>
          <t>Memverifikasi status 26.09/MKPP-MIM/0070.000 setelah approval PATRICK.YOHANNES</t>
        </is>
      </c>
      <c r="G16" s="8" t="inlineStr">
        <is>
          <t>Tier 1 sudah menyimpan approval</t>
        </is>
      </c>
      <c r="H16" s="8" t="inlineStr">
        <is>
          <t>1. Login Muslih
2. Find dokumen MKPP
3. Baca status flow</t>
        </is>
      </c>
      <c r="I16" s="8" t="inlineStr">
        <is>
          <t>Status dokumen APPROVED dan siap diklaim di PRM</t>
        </is>
      </c>
      <c r="J16" s="6" t="inlineStr">
        <is>
          <t>High</t>
        </is>
      </c>
      <c r="K16" s="9" t="inlineStr">
        <is>
          <t>Pass</t>
        </is>
      </c>
      <c r="L16" s="8" t="inlineStr">
        <is>
          <t>Status terbaca: APPROVED. Inbox Tier 2 HENDRAWAN.KHO kosong karena dokumen sudah tidak menunggu approval berikutnya.</t>
        </is>
      </c>
      <c r="M16" s="10">
        <f>HYPERLINK("evidence_2026_09_30_17-33-11\17_MKPP_Status_APPROVED.png", "Lihat Evidence")</f>
        <v/>
      </c>
      <c r="N16" s="6" t="inlineStr">
        <is>
          <t>Ageng</t>
        </is>
      </c>
      <c r="O16" s="6" t="inlineStr">
        <is>
          <t>30/09/2026</t>
        </is>
      </c>
    </row>
    <row r="17" ht="65" customHeight="1">
      <c r="A17" s="11" t="n">
        <v>16</v>
      </c>
      <c r="B17" s="11" t="inlineStr">
        <is>
          <t>TC-E2E-18</t>
        </is>
      </c>
      <c r="C17" s="12" t="inlineStr">
        <is>
          <t>PRM Portal</t>
        </is>
      </c>
      <c r="D17" s="12" t="inlineStr">
        <is>
          <t>Login Subdistributor Bandung Selatan (050311)</t>
        </is>
      </c>
      <c r="E17" s="11" t="inlineStr">
        <is>
          <t>Positive</t>
        </is>
      </c>
      <c r="F17" s="13" t="inlineStr">
        <is>
          <t>Melakukan autentikasi portal PRM menggunakan akun KMMD Subdist Bandung Selatan</t>
        </is>
      </c>
      <c r="G17" s="13" t="inlineStr">
        <is>
          <t>Akun KMMD 050311 aktif di portal PRM Dev</t>
        </is>
      </c>
      <c r="H17" s="13" t="inlineStr">
        <is>
          <t>1. Masukkan Username = 050311, Password = bypass
2. Submit form login
3. Verifikasi beranda portal terbuka</t>
        </is>
      </c>
      <c r="I17" s="13" t="inlineStr">
        <is>
          <t>Beranda portal PRM berhasil dimuat dengan hak akses menu Klaim</t>
        </is>
      </c>
      <c r="J17" s="11" t="inlineStr">
        <is>
          <t>Medium</t>
        </is>
      </c>
      <c r="K17" s="9" t="inlineStr">
        <is>
          <t>Pass</t>
        </is>
      </c>
      <c r="L17" s="13" t="inlineStr">
        <is>
          <t>User subdist Bandung Selatan (050311) berhasil masuk ke portal PRM</t>
        </is>
      </c>
      <c r="M17" s="14">
        <f>HYPERLINK("evidence_2026_09_30_17-33-11\18_PRM_BDO_Login_Dashboard.png", "Lihat Evidence")</f>
        <v/>
      </c>
      <c r="N17" s="11" t="inlineStr">
        <is>
          <t>Ageng</t>
        </is>
      </c>
      <c r="O17" s="11" t="inlineStr">
        <is>
          <t>30/09/2026</t>
        </is>
      </c>
    </row>
    <row r="18" ht="65" customHeight="1">
      <c r="A18" s="6" t="n">
        <v>17</v>
      </c>
      <c r="B18" s="6" t="inlineStr">
        <is>
          <t>TC-E2E-19</t>
        </is>
      </c>
      <c r="C18" s="7" t="inlineStr">
        <is>
          <t>PRM Portal</t>
        </is>
      </c>
      <c r="D18" s="7" t="inlineStr">
        <is>
          <t>Form Klaim DF Baru - Subdist Bandung Selatan</t>
        </is>
      </c>
      <c r="E18" s="6" t="inlineStr">
        <is>
          <t>Positive</t>
        </is>
      </c>
      <c r="F18" s="8" t="inlineStr">
        <is>
          <t>Membuka form pembuatan klaim Development Fund baru pada portal PRM</t>
        </is>
      </c>
      <c r="G18" s="8" t="inlineStr">
        <is>
          <t>User berada pada modul /Klaim/KlaimKDSDF</t>
        </is>
      </c>
      <c r="H18" s="8" t="inlineStr">
        <is>
          <t>1. Klik tombol New (#btnNew)
2. Form input klaim terbuka dalam kondisi siap diisi</t>
        </is>
      </c>
      <c r="I18" s="8" t="inlineStr">
        <is>
          <t>Formulir klaim terinisialisasi bersih dengan opsi LOV MKPP dan tabel rincian</t>
        </is>
      </c>
      <c r="J18" s="6" t="inlineStr">
        <is>
          <t>Medium</t>
        </is>
      </c>
      <c r="K18" s="9" t="inlineStr">
        <is>
          <t>Pass</t>
        </is>
      </c>
      <c r="L18" s="8" t="inlineStr">
        <is>
          <t>Formulir klaim baru berhasil diinisialisasi</t>
        </is>
      </c>
      <c r="M18" s="10">
        <f>HYPERLINK("evidence_2026_09_30_17-33-11\19_PRM_BDO_Claim_Form_New.png", "Lihat Evidence")</f>
        <v/>
      </c>
      <c r="N18" s="6" t="inlineStr">
        <is>
          <t>Ageng</t>
        </is>
      </c>
      <c r="O18" s="6" t="inlineStr">
        <is>
          <t>30/09/2026</t>
        </is>
      </c>
    </row>
    <row r="19" ht="65" customHeight="1">
      <c r="A19" s="11" t="n">
        <v>18</v>
      </c>
      <c r="B19" s="11" t="inlineStr">
        <is>
          <t>TC-E2E-20</t>
        </is>
      </c>
      <c r="C19" s="12" t="inlineStr">
        <is>
          <t>PRM Portal</t>
        </is>
      </c>
      <c r="D19" s="12" t="inlineStr">
        <is>
          <t>Modal LOV Dokumen MKPP Datatable - Bandung Selatan</t>
        </is>
      </c>
      <c r="E19" s="11" t="inlineStr">
        <is>
          <t>Positive</t>
        </is>
      </c>
      <c r="F19" s="13" t="inlineStr">
        <is>
          <t>Membuka modal LOV MKPP berpaginasi dan mencari dokumen referensi: 26.09/MKPP-MIM/0070.000</t>
        </is>
      </c>
      <c r="G19" s="13" t="inlineStr">
        <is>
          <t>Tombol LOV MKPP diklik</t>
        </is>
      </c>
      <c r="H19" s="13" t="inlineStr">
        <is>
          <t>1. Modal LOV MKPP iframe terbuka
2. Filter pencarian nomor dokumen 26.09/MKPP-MIM/0070.000
3. Verifikasi baris datatable menampilkan pagu dan outstanding budget</t>
        </is>
      </c>
      <c r="I19" s="13" t="inlineStr">
        <is>
          <t>Modal LOV menampilkan daftar kontrak MKPP resmi yang siap diklaim</t>
        </is>
      </c>
      <c r="J19" s="11" t="inlineStr">
        <is>
          <t>High</t>
        </is>
      </c>
      <c r="K19" s="9" t="inlineStr">
        <is>
          <t>Pass</t>
        </is>
      </c>
      <c r="L19" s="13" t="inlineStr">
        <is>
          <t>Dokumen 26.09/MKPP-MIM/0070.000 tampil pada grid datatable LOV MKPP</t>
        </is>
      </c>
      <c r="M19" s="14">
        <f>HYPERLINK("evidence_2026_09_30_17-33-11\20_PRM_BDO_LOV_MKPP_Datatable.png", "Lihat Evidence")</f>
        <v/>
      </c>
      <c r="N19" s="11" t="inlineStr">
        <is>
          <t>Ageng</t>
        </is>
      </c>
      <c r="O19" s="11" t="inlineStr">
        <is>
          <t>30/09/2026</t>
        </is>
      </c>
    </row>
    <row r="20" ht="65" customHeight="1">
      <c r="A20" s="6" t="n">
        <v>19</v>
      </c>
      <c r="B20" s="6" t="inlineStr">
        <is>
          <t>TC-E2E-21</t>
        </is>
      </c>
      <c r="C20" s="7" t="inlineStr">
        <is>
          <t>PRM Portal</t>
        </is>
      </c>
      <c r="D20" s="7" t="inlineStr">
        <is>
          <t>Pemilihan Kontrak MKPP Terpilih - Bandung Selatan</t>
        </is>
      </c>
      <c r="E20" s="6" t="inlineStr">
        <is>
          <t>Positive</t>
        </is>
      </c>
      <c r="F20" s="8" t="inlineStr">
        <is>
          <t>Memilih dokumen 26.09/MKPP-MIM/0070.000 sehingga data pagu budget terintegrasi ke form klaim</t>
        </is>
      </c>
      <c r="G20" s="8" t="inlineStr">
        <is>
          <t>Dokumen MKPP terpilih dari modal LOV</t>
        </is>
      </c>
      <c r="H20" s="8" t="inlineStr">
        <is>
          <t>1. Klik tombol Select pada baris MKPP
2. Verifikasi field #txtMemoMKPP dan kalkulasi reserve budget terisi otomatis</t>
        </is>
      </c>
      <c r="I20" s="8" t="inlineStr">
        <is>
          <t>Header klaim otomatis terhubung dengan kontrak MKPP yang valid</t>
        </is>
      </c>
      <c r="J20" s="6" t="inlineStr">
        <is>
          <t>High</t>
        </is>
      </c>
      <c r="K20" s="9" t="inlineStr">
        <is>
          <t>Pass</t>
        </is>
      </c>
      <c r="L20" s="8" t="inlineStr">
        <is>
          <t>Kontrak 26.09/MKPP-MIM/0070.000 sukses terpilih dan terikat ke form klaim</t>
        </is>
      </c>
      <c r="M20" s="10">
        <f>HYPERLINK("evidence_2026_09_30_17-33-11\21_PRM_BDO_MKPP_Selected_Reserve.png", "Lihat Evidence")</f>
        <v/>
      </c>
      <c r="N20" s="6" t="inlineStr">
        <is>
          <t>Ageng</t>
        </is>
      </c>
      <c r="O20" s="6" t="inlineStr">
        <is>
          <t>30/09/2026</t>
        </is>
      </c>
    </row>
    <row r="21" ht="65" customHeight="1">
      <c r="A21" s="11" t="n">
        <v>20</v>
      </c>
      <c r="B21" s="11" t="inlineStr">
        <is>
          <t>TC-E2E-ERR</t>
        </is>
      </c>
      <c r="C21" s="12" t="inlineStr">
        <is>
          <t>E2E</t>
        </is>
      </c>
      <c r="D21" s="12" t="inlineStr">
        <is>
          <t>Alur terhenti</t>
        </is>
      </c>
      <c r="E21" s="11" t="inlineStr">
        <is>
          <t>Positive</t>
        </is>
      </c>
      <c r="F21" s="13" t="inlineStr">
        <is>
          <t>Siklus klaim selesai tanpa error</t>
        </is>
      </c>
      <c r="G21" s="13" t="inlineStr">
        <is>
          <t>MKPP 26.09/MKPP-MIM/0070.000 berstatus APPROVED</t>
        </is>
      </c>
      <c r="H21" s="13" t="inlineStr">
        <is>
          <t>Ajukan klaim PRM lalu verifikasi di KDS sampai APPROVED</t>
        </is>
      </c>
      <c r="I21" s="13" t="inlineStr">
        <is>
          <t>Kedua klaim berstatus APPROVED</t>
        </is>
      </c>
      <c r="J21" s="11" t="inlineStr">
        <is>
          <t>High</t>
        </is>
      </c>
      <c r="K21" s="15" t="inlineStr">
        <is>
          <t>Fail</t>
        </is>
      </c>
      <c r="L21" s="13" t="inlineStr">
        <is>
          <t xml:space="preserve">Locator.click: Timeout 30000ms exceeded.
Call log:
  - waiting for locator("#tbLOV tbody tr").filter(has_text="BANDUNG SELATAN").first.locator(".btnSelect")
</t>
        </is>
      </c>
      <c r="M21" s="14">
        <f>HYPERLINK("evidence_2026_09_30_17-33-11\Error_E2E.png", "Lihat Evidence")</f>
        <v/>
      </c>
      <c r="N21" s="11" t="inlineStr">
        <is>
          <t>Ageng</t>
        </is>
      </c>
      <c r="O21" s="11" t="inlineStr">
        <is>
          <t>30/09/2026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2026-09-30T10:34:21Z</dcterms:created>
  <dcterms:modified xmlns:dcterms="http://purl.org/dc/terms/" xmlns:xsi="http://www.w3.org/2001/XMLSchema-instance" xsi:type="dcterms:W3CDTF">2026-09-30T10:34:21Z</dcterms:modified>
</cp:coreProperties>
</file>